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JLEE's Data\1.품목별 자료\GPI-8200 호파\"/>
    </mc:Choice>
  </mc:AlternateContent>
  <bookViews>
    <workbookView xWindow="0" yWindow="45" windowWidth="20415" windowHeight="8445"/>
  </bookViews>
  <sheets>
    <sheet name="제품사양" sheetId="2" r:id="rId1"/>
    <sheet name="제품개념도" sheetId="1" r:id="rId2"/>
    <sheet name="예상원가" sheetId="5" r:id="rId3"/>
    <sheet name="투자비용" sheetId="8" r:id="rId4"/>
  </sheets>
  <externalReferences>
    <externalReference r:id="rId5"/>
    <externalReference r:id="rId6"/>
    <externalReference r:id="rId7"/>
    <externalReference r:id="rId8"/>
  </externalReferences>
  <definedNames>
    <definedName name="_A99999">[1]VIP!#REF!</definedName>
    <definedName name="_Dist_Bin" hidden="1">#REF!</definedName>
    <definedName name="_Dist_Values" hidden="1">#REF!</definedName>
    <definedName name="_Fill" hidden="1">#REF!</definedName>
    <definedName name="_Key1" hidden="1">[2]MAT!#REF!</definedName>
    <definedName name="_Order1" hidden="1">0</definedName>
    <definedName name="_Order2" hidden="1">0</definedName>
    <definedName name="_Sort" hidden="1">#REF!</definedName>
    <definedName name="aa" hidden="1">[3]MAT!#REF!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PPK" hidden="1">'[4]PP%계산'!#REF!</definedName>
    <definedName name="QK" hidden="1">#REF!</definedName>
    <definedName name="ㅁㅁ" hidden="1">#REF!</definedName>
    <definedName name="ㅅㅅㅅ" hidden="1">#REF!</definedName>
    <definedName name="셀리카" hidden="1">#REF!</definedName>
    <definedName name="ㅇㅇㅇ" hidden="1">#REF!</definedName>
    <definedName name="ㅎㅎㅎ" hidden="1">#REF!</definedName>
  </definedNames>
  <calcPr calcId="152511"/>
</workbook>
</file>

<file path=xl/calcChain.xml><?xml version="1.0" encoding="utf-8"?>
<calcChain xmlns="http://schemas.openxmlformats.org/spreadsheetml/2006/main">
  <c r="I10" i="8" l="1"/>
  <c r="I9" i="8"/>
  <c r="I6" i="8" l="1"/>
  <c r="I12" i="8"/>
  <c r="I11" i="8"/>
  <c r="I8" i="8"/>
  <c r="I7" i="8"/>
  <c r="I5" i="8"/>
  <c r="G15" i="5"/>
  <c r="D15" i="5"/>
  <c r="I17" i="8" l="1"/>
</calcChain>
</file>

<file path=xl/sharedStrings.xml><?xml version="1.0" encoding="utf-8"?>
<sst xmlns="http://schemas.openxmlformats.org/spreadsheetml/2006/main" count="147" uniqueCount="125">
  <si>
    <t>전원</t>
    <phoneticPr fontId="1" type="noConversion"/>
  </si>
  <si>
    <t>표시부(메인)</t>
    <phoneticPr fontId="1" type="noConversion"/>
  </si>
  <si>
    <t>인터페이스</t>
    <phoneticPr fontId="1" type="noConversion"/>
  </si>
  <si>
    <t>옵션</t>
    <phoneticPr fontId="1" type="noConversion"/>
  </si>
  <si>
    <t>로드셀 출력 보정기능</t>
    <phoneticPr fontId="1" type="noConversion"/>
  </si>
  <si>
    <t>최대연결로드셀갯수</t>
    <phoneticPr fontId="1" type="noConversion"/>
  </si>
  <si>
    <t>CDMA(전화기기능)</t>
    <phoneticPr fontId="1" type="noConversion"/>
  </si>
  <si>
    <t>무게이상 자동감지 기능</t>
    <phoneticPr fontId="1" type="noConversion"/>
  </si>
  <si>
    <t xml:space="preserve">외부전원 </t>
    <phoneticPr fontId="1" type="noConversion"/>
  </si>
  <si>
    <t>외부연결</t>
    <phoneticPr fontId="1" type="noConversion"/>
  </si>
  <si>
    <t>외부표시</t>
    <phoneticPr fontId="1" type="noConversion"/>
  </si>
  <si>
    <t>외부입력</t>
    <phoneticPr fontId="1" type="noConversion"/>
  </si>
  <si>
    <t>FND ASSAY</t>
    <phoneticPr fontId="1" type="noConversion"/>
  </si>
  <si>
    <t>LCD ASSAY</t>
    <phoneticPr fontId="1" type="noConversion"/>
  </si>
  <si>
    <t>KEY ASSAY</t>
    <phoneticPr fontId="1" type="noConversion"/>
  </si>
  <si>
    <t>화장판</t>
    <phoneticPr fontId="1" type="noConversion"/>
  </si>
  <si>
    <t>CDMA 모듈</t>
    <phoneticPr fontId="1" type="noConversion"/>
  </si>
  <si>
    <t>프린터기능(옵션)</t>
  </si>
  <si>
    <t xml:space="preserve"> A/D 모듈</t>
    <phoneticPr fontId="1" type="noConversion"/>
  </si>
  <si>
    <t>구분</t>
    <phoneticPr fontId="9" type="noConversion"/>
  </si>
  <si>
    <t>비고</t>
    <phoneticPr fontId="9" type="noConversion"/>
  </si>
  <si>
    <t>컨트롤러 박스</t>
    <phoneticPr fontId="1" type="noConversion"/>
  </si>
  <si>
    <t>기존 메인 인디게이터 + 파워컨트롤박스 일체형</t>
    <phoneticPr fontId="1" type="noConversion"/>
  </si>
  <si>
    <t>CDMA</t>
    <phoneticPr fontId="1" type="noConversion"/>
  </si>
  <si>
    <t>■ 기능 사양</t>
    <phoneticPr fontId="9" type="noConversion"/>
  </si>
  <si>
    <t>로드셀 출력값의 입력을 통한 CAL 기능</t>
    <phoneticPr fontId="1" type="noConversion"/>
  </si>
  <si>
    <t>무게이상 자동보정 기능</t>
    <phoneticPr fontId="1" type="noConversion"/>
  </si>
  <si>
    <t>- SMS 문자 발송기능 : 현재상태(사료량, 배출량등)을 사용자가 설정한 시간 및 조건에 맞추어 전송하는 기능</t>
    <phoneticPr fontId="1" type="noConversion"/>
  </si>
  <si>
    <t xml:space="preserve">- 기존 실무게 방식의 CAL이 아닌 로드셀 출력값의 입력을 통한 CALIBRATION </t>
    <phoneticPr fontId="1" type="noConversion"/>
  </si>
  <si>
    <t>- 무게가 맞지 않을시 사용자가  직접 무게값을 보정하여 무게를 맞출수 있게하는 기능</t>
    <phoneticPr fontId="1" type="noConversion"/>
  </si>
  <si>
    <t>- 설치되어 있는 로드셀에 이상이 발생시 자동으로 검출하는 기능</t>
    <phoneticPr fontId="1" type="noConversion"/>
  </si>
  <si>
    <t>- 설치되어 있는 로드셀의 이상발생시 문제있는 로드셀을 사용하지 않고 나머지로 무게보정하는 기능</t>
    <phoneticPr fontId="1" type="noConversion"/>
  </si>
  <si>
    <t>- 전화번호 입력기능 : 최대 5인까지 SMS 문자발송할 전화번호 설정</t>
    <phoneticPr fontId="1" type="noConversion"/>
  </si>
  <si>
    <t>구 분</t>
    <phoneticPr fontId="9" type="noConversion"/>
  </si>
  <si>
    <t>비 고</t>
    <phoneticPr fontId="9" type="noConversion"/>
  </si>
  <si>
    <t>기 능</t>
    <phoneticPr fontId="9" type="noConversion"/>
  </si>
  <si>
    <t>■ 정션박스 사양</t>
    <phoneticPr fontId="9" type="noConversion"/>
  </si>
  <si>
    <t>사 양</t>
    <phoneticPr fontId="9" type="noConversion"/>
  </si>
  <si>
    <t>상 세</t>
    <phoneticPr fontId="9" type="noConversion"/>
  </si>
  <si>
    <t>A/D 분해능</t>
    <phoneticPr fontId="1" type="noConversion"/>
  </si>
  <si>
    <t>- 6개</t>
    <phoneticPr fontId="1" type="noConversion"/>
  </si>
  <si>
    <t>- 사료량, 배출량 등을 설치되어 있는 프린터로 인쇄하는 기능</t>
    <phoneticPr fontId="1" type="noConversion"/>
  </si>
  <si>
    <t>- P/C 프로그램</t>
    <phoneticPr fontId="1" type="noConversion"/>
  </si>
  <si>
    <t>- 미니프린터 : 열전사 프린터</t>
    <phoneticPr fontId="1" type="noConversion"/>
  </si>
  <si>
    <t>- 통신사 : KT 또는 SKT</t>
    <phoneticPr fontId="1" type="noConversion"/>
  </si>
  <si>
    <t>- 3G 이상</t>
    <phoneticPr fontId="1" type="noConversion"/>
  </si>
  <si>
    <t>- RS-422 : P/C 프로그램</t>
    <phoneticPr fontId="1" type="noConversion"/>
  </si>
  <si>
    <t>- RS-485 : 졍션박스 연결</t>
    <phoneticPr fontId="1" type="noConversion"/>
  </si>
  <si>
    <t>- 현재무게, 배출기록, 인쇄, 장비상태, 설정키</t>
    <phoneticPr fontId="1" type="noConversion"/>
  </si>
  <si>
    <t>- 방향키 (상, 하, 좌, 우, 메뉴)</t>
    <phoneticPr fontId="1" type="noConversion"/>
  </si>
  <si>
    <t>- 숫자키(0~9), 지움키, 확인키</t>
    <phoneticPr fontId="1" type="noConversion"/>
  </si>
  <si>
    <t>- 재질 : ABS</t>
    <phoneticPr fontId="1" type="noConversion"/>
  </si>
  <si>
    <t>- 모델명 : 카드마스타(ABS)</t>
    <phoneticPr fontId="1" type="noConversion"/>
  </si>
  <si>
    <t>- 스위칭파워 : 컨트롤러 내장형</t>
    <phoneticPr fontId="1" type="noConversion"/>
  </si>
  <si>
    <t>- 입력 :  AC 100V~240V,  50/60HZ</t>
    <phoneticPr fontId="1" type="noConversion"/>
  </si>
  <si>
    <t>- 출력 :  DC 12V / 2.5A</t>
    <phoneticPr fontId="1" type="noConversion"/>
  </si>
  <si>
    <t>- 7인치 TFT COLOR LCD</t>
    <phoneticPr fontId="1" type="noConversion"/>
  </si>
  <si>
    <t>- 1/10000 (외부)</t>
    <phoneticPr fontId="1" type="noConversion"/>
  </si>
  <si>
    <t>- DC 12V / 1A (메인 연결)</t>
    <phoneticPr fontId="1" type="noConversion"/>
  </si>
  <si>
    <t>A/D 속도</t>
    <phoneticPr fontId="1" type="noConversion"/>
  </si>
  <si>
    <t>- 20회 / 1sec</t>
    <phoneticPr fontId="1" type="noConversion"/>
  </si>
  <si>
    <t>- 전원 : 메인과 연결 , DC 12V</t>
    <phoneticPr fontId="1" type="noConversion"/>
  </si>
  <si>
    <t>- 통신 : 메인과 연결, RS-485</t>
    <phoneticPr fontId="1" type="noConversion"/>
  </si>
  <si>
    <t>- 로드셀 : 최대 6개 연결가능, 로드셀 인가전압 DC 5 V</t>
    <phoneticPr fontId="1" type="noConversion"/>
  </si>
  <si>
    <t>NEW GPI-8210 제품 사양</t>
    <phoneticPr fontId="9" type="noConversion"/>
  </si>
  <si>
    <t>NEW GPI-8210 제품 개념도</t>
    <phoneticPr fontId="9" type="noConversion"/>
  </si>
  <si>
    <t>NEW
GPI-8210</t>
    <phoneticPr fontId="1" type="noConversion"/>
  </si>
  <si>
    <t>모델</t>
    <phoneticPr fontId="9" type="noConversion"/>
  </si>
  <si>
    <t>항목</t>
    <phoneticPr fontId="9" type="noConversion"/>
  </si>
  <si>
    <t>단가</t>
    <phoneticPr fontId="9" type="noConversion"/>
  </si>
  <si>
    <t>기존
GPI-8210</t>
    <phoneticPr fontId="9" type="noConversion"/>
  </si>
  <si>
    <t>메인 PCB</t>
    <phoneticPr fontId="1" type="noConversion"/>
  </si>
  <si>
    <t>메인 BOX (속철판 포함)</t>
    <phoneticPr fontId="1" type="noConversion"/>
  </si>
  <si>
    <t>CONTROL BOX (GPI-8250)</t>
    <phoneticPr fontId="1" type="noConversion"/>
  </si>
  <si>
    <t>졍션박스 (GPI-8240)</t>
    <phoneticPr fontId="1" type="noConversion"/>
  </si>
  <si>
    <t>LCD ASSAY (7인치)</t>
    <phoneticPr fontId="1" type="noConversion"/>
  </si>
  <si>
    <t>ADC 모듈 (4EA)</t>
    <phoneticPr fontId="1" type="noConversion"/>
  </si>
  <si>
    <t>합 계</t>
    <phoneticPr fontId="1" type="noConversion"/>
  </si>
  <si>
    <t>기존 대비 106,000원 증가</t>
    <phoneticPr fontId="9" type="noConversion"/>
  </si>
  <si>
    <t>예상 단가</t>
    <phoneticPr fontId="9" type="noConversion"/>
  </si>
  <si>
    <t>NEW GPI-8210 예상 원가 (로드셀 제외)</t>
    <phoneticPr fontId="9" type="noConversion"/>
  </si>
  <si>
    <t>No</t>
    <phoneticPr fontId="9" type="noConversion"/>
  </si>
  <si>
    <t>제작처</t>
    <phoneticPr fontId="9" type="noConversion"/>
  </si>
  <si>
    <t>단위</t>
    <phoneticPr fontId="9" type="noConversion"/>
  </si>
  <si>
    <t>수량</t>
    <phoneticPr fontId="9" type="noConversion"/>
  </si>
  <si>
    <t>단가(원)</t>
    <phoneticPr fontId="9" type="noConversion"/>
  </si>
  <si>
    <t>금액(원)</t>
    <phoneticPr fontId="9" type="noConversion"/>
  </si>
  <si>
    <t>EA</t>
    <phoneticPr fontId="9" type="noConversion"/>
  </si>
  <si>
    <t>성우프린텍</t>
    <phoneticPr fontId="9" type="noConversion"/>
  </si>
  <si>
    <t>PCB 제작</t>
    <phoneticPr fontId="9" type="noConversion"/>
  </si>
  <si>
    <t>조립용 부품</t>
    <phoneticPr fontId="9" type="noConversion"/>
  </si>
  <si>
    <t>합 계</t>
    <phoneticPr fontId="9" type="noConversion"/>
  </si>
  <si>
    <t>NEW GPI-8210 개발 투자 비용</t>
    <phoneticPr fontId="9" type="noConversion"/>
  </si>
  <si>
    <t>가온</t>
    <phoneticPr fontId="1" type="noConversion"/>
  </si>
  <si>
    <t>화장판 제작</t>
    <phoneticPr fontId="9" type="noConversion"/>
  </si>
  <si>
    <t>용도 및 규격</t>
    <phoneticPr fontId="9" type="noConversion"/>
  </si>
  <si>
    <t>ADC 모듈</t>
    <phoneticPr fontId="9" type="noConversion"/>
  </si>
  <si>
    <t>EA</t>
    <phoneticPr fontId="1" type="noConversion"/>
  </si>
  <si>
    <t>메인 컨트롤러 박스</t>
    <phoneticPr fontId="1" type="noConversion"/>
  </si>
  <si>
    <t>속철판, SPMS 포함</t>
    <phoneticPr fontId="1" type="noConversion"/>
  </si>
  <si>
    <t>통신비용</t>
    <phoneticPr fontId="1" type="noConversion"/>
  </si>
  <si>
    <t>3SET*5000원*12개월</t>
    <phoneticPr fontId="1" type="noConversion"/>
  </si>
  <si>
    <t>** 개발 인건비 및 서버개발비 제외</t>
    <phoneticPr fontId="9" type="noConversion"/>
  </si>
  <si>
    <t>출장 테스트비</t>
    <phoneticPr fontId="1" type="noConversion"/>
  </si>
  <si>
    <t>7일 x 2인 x 20만원</t>
    <phoneticPr fontId="1" type="noConversion"/>
  </si>
  <si>
    <t>메인 PCB 개발비용</t>
    <phoneticPr fontId="9" type="noConversion"/>
  </si>
  <si>
    <t>졍션박스 PCB 개발비용</t>
    <phoneticPr fontId="1" type="noConversion"/>
  </si>
  <si>
    <t>메인 PCB 제작</t>
    <phoneticPr fontId="1" type="noConversion"/>
  </si>
  <si>
    <t>졍션박스 PCB 제작</t>
    <phoneticPr fontId="1" type="noConversion"/>
  </si>
  <si>
    <t>회</t>
    <phoneticPr fontId="9" type="noConversion"/>
  </si>
  <si>
    <t>정션박스</t>
    <phoneticPr fontId="1" type="noConversion"/>
  </si>
  <si>
    <t>- 최대 6개 (소켓삽입용)</t>
    <phoneticPr fontId="1" type="noConversion"/>
  </si>
  <si>
    <t>- RS-232 : CDMA (전화기), 미니프린터</t>
    <phoneticPr fontId="1" type="noConversion"/>
  </si>
  <si>
    <t>- 문제발생시 A/S 센터 및 사용자에게 자동 전송</t>
    <phoneticPr fontId="1" type="noConversion"/>
  </si>
  <si>
    <t>■ 메인 컨트롤러 사양</t>
    <phoneticPr fontId="9" type="noConversion"/>
  </si>
  <si>
    <t>- 전원 LED, 통신에러 LED</t>
    <phoneticPr fontId="1" type="noConversion"/>
  </si>
  <si>
    <t>- 사이즈 : (W)390 x (H)316 x (D)167 (mm)</t>
    <phoneticPr fontId="1" type="noConversion"/>
  </si>
  <si>
    <t>정션박스 PCB</t>
    <phoneticPr fontId="1" type="noConversion"/>
  </si>
  <si>
    <t>- ADC 모듈 삽입 및 커넥터 연결용</t>
    <phoneticPr fontId="1" type="noConversion"/>
  </si>
  <si>
    <t xml:space="preserve">- 사이즈 : </t>
    <phoneticPr fontId="1" type="noConversion"/>
  </si>
  <si>
    <t xml:space="preserve">- ADC 모듈 모델명 : </t>
    <phoneticPr fontId="1" type="noConversion"/>
  </si>
  <si>
    <t xml:space="preserve">- 모델명 : </t>
    <phoneticPr fontId="1" type="noConversion"/>
  </si>
  <si>
    <t>메인 BOX (속철판, SMPS 포함)</t>
    <phoneticPr fontId="1" type="noConversion"/>
  </si>
  <si>
    <t>- 사이즈 :</t>
    <phoneticPr fontId="1" type="noConversion"/>
  </si>
  <si>
    <t>- 구성 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</si>
</sst>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2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돋움"/>
      <family val="3"/>
      <charset val="129"/>
    </font>
    <font>
      <b/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1"/>
      <name val="돋움"/>
      <family val="3"/>
      <charset val="129"/>
    </font>
    <font>
      <b/>
      <sz val="18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66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5" fillId="0" borderId="0"/>
  </cellStyleXfs>
  <cellXfs count="7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4" fillId="0" borderId="0" xfId="0" applyFont="1">
      <alignment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7" fillId="0" borderId="0" xfId="0" applyFont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12" fillId="2" borderId="1" xfId="0" applyFont="1" applyFill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4" fillId="2" borderId="0" xfId="0" applyFont="1" applyFill="1" applyAlignment="1">
      <alignment horizontal="left"/>
    </xf>
    <xf numFmtId="0" fontId="12" fillId="0" borderId="1" xfId="0" quotePrefix="1" applyFont="1" applyBorder="1">
      <alignment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1" xfId="0" quotePrefix="1" applyFont="1" applyFill="1" applyBorder="1">
      <alignment vertical="center"/>
    </xf>
    <xf numFmtId="41" fontId="12" fillId="0" borderId="1" xfId="1" applyFont="1" applyBorder="1">
      <alignment vertical="center"/>
    </xf>
    <xf numFmtId="41" fontId="12" fillId="2" borderId="1" xfId="1" applyFont="1" applyFill="1" applyBorder="1">
      <alignment vertical="center"/>
    </xf>
    <xf numFmtId="0" fontId="0" fillId="0" borderId="11" xfId="0" applyBorder="1">
      <alignment vertical="center"/>
    </xf>
    <xf numFmtId="0" fontId="6" fillId="0" borderId="9" xfId="0" applyFont="1" applyBorder="1">
      <alignment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41" fontId="3" fillId="6" borderId="8" xfId="1" applyFont="1" applyFill="1" applyBorder="1">
      <alignment vertical="center"/>
    </xf>
    <xf numFmtId="0" fontId="10" fillId="6" borderId="17" xfId="0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41" fontId="12" fillId="0" borderId="19" xfId="1" applyFont="1" applyBorder="1" applyAlignment="1">
      <alignment horizontal="center" vertical="center"/>
    </xf>
    <xf numFmtId="41" fontId="12" fillId="0" borderId="19" xfId="1" applyFont="1" applyBorder="1">
      <alignment vertical="center"/>
    </xf>
    <xf numFmtId="41" fontId="3" fillId="6" borderId="20" xfId="1" applyFont="1" applyFill="1" applyBorder="1">
      <alignment vertical="center"/>
    </xf>
    <xf numFmtId="0" fontId="7" fillId="0" borderId="0" xfId="2" applyFont="1" applyAlignment="1">
      <alignment vertical="center"/>
    </xf>
    <xf numFmtId="0" fontId="7" fillId="0" borderId="0" xfId="2" applyFont="1"/>
    <xf numFmtId="0" fontId="15" fillId="0" borderId="0" xfId="2"/>
    <xf numFmtId="0" fontId="10" fillId="5" borderId="1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vertical="center" shrinkToFit="1"/>
    </xf>
    <xf numFmtId="0" fontId="7" fillId="0" borderId="1" xfId="2" applyFont="1" applyBorder="1" applyAlignment="1">
      <alignment vertical="center"/>
    </xf>
    <xf numFmtId="176" fontId="7" fillId="0" borderId="1" xfId="2" applyNumberFormat="1" applyFont="1" applyBorder="1" applyAlignment="1">
      <alignment horizontal="center" vertical="center"/>
    </xf>
    <xf numFmtId="176" fontId="7" fillId="0" borderId="1" xfId="2" applyNumberFormat="1" applyFont="1" applyBorder="1" applyAlignment="1">
      <alignment vertical="center"/>
    </xf>
    <xf numFmtId="176" fontId="7" fillId="0" borderId="0" xfId="2" applyNumberFormat="1" applyFont="1" applyAlignment="1">
      <alignment vertical="center"/>
    </xf>
    <xf numFmtId="0" fontId="10" fillId="3" borderId="1" xfId="2" applyFont="1" applyFill="1" applyBorder="1" applyAlignment="1">
      <alignment horizontal="center" vertical="center"/>
    </xf>
    <xf numFmtId="176" fontId="10" fillId="3" borderId="1" xfId="2" applyNumberFormat="1" applyFont="1" applyFill="1" applyBorder="1" applyAlignment="1">
      <alignment vertical="center"/>
    </xf>
    <xf numFmtId="0" fontId="7" fillId="0" borderId="0" xfId="2" applyFont="1" applyAlignment="1">
      <alignment horizontal="center" vertical="center"/>
    </xf>
    <xf numFmtId="176" fontId="7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left"/>
    </xf>
    <xf numFmtId="0" fontId="7" fillId="0" borderId="0" xfId="2" applyFont="1" applyAlignment="1">
      <alignment horizontal="center"/>
    </xf>
    <xf numFmtId="176" fontId="7" fillId="0" borderId="0" xfId="2" applyNumberFormat="1" applyFont="1" applyAlignment="1">
      <alignment horizontal="center"/>
    </xf>
    <xf numFmtId="176" fontId="7" fillId="0" borderId="0" xfId="2" applyNumberFormat="1" applyFont="1"/>
    <xf numFmtId="0" fontId="7" fillId="0" borderId="2" xfId="2" applyFont="1" applyBorder="1" applyAlignment="1">
      <alignment vertical="center" shrinkToFit="1"/>
    </xf>
    <xf numFmtId="0" fontId="17" fillId="0" borderId="1" xfId="0" applyFont="1" applyFill="1" applyBorder="1">
      <alignment vertical="center"/>
    </xf>
    <xf numFmtId="0" fontId="17" fillId="0" borderId="2" xfId="0" applyFont="1" applyFill="1" applyBorder="1">
      <alignment vertical="center"/>
    </xf>
    <xf numFmtId="0" fontId="18" fillId="0" borderId="1" xfId="0" quotePrefix="1" applyFont="1" applyFill="1" applyBorder="1">
      <alignment vertical="center"/>
    </xf>
    <xf numFmtId="0" fontId="13" fillId="0" borderId="1" xfId="0" quotePrefix="1" applyFont="1" applyBorder="1">
      <alignment vertical="center"/>
    </xf>
    <xf numFmtId="0" fontId="12" fillId="0" borderId="1" xfId="0" quotePrefix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8" fillId="0" borderId="1" xfId="0" applyFont="1" applyFill="1" applyBorder="1" applyAlignment="1">
      <alignment horizontal="left" vertical="center"/>
    </xf>
    <xf numFmtId="0" fontId="16" fillId="4" borderId="0" xfId="0" applyFont="1" applyFill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8" fillId="0" borderId="1" xfId="0" quotePrefix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0" fillId="3" borderId="5" xfId="2" applyFont="1" applyFill="1" applyBorder="1" applyAlignment="1">
      <alignment horizontal="center" vertical="center"/>
    </xf>
    <xf numFmtId="0" fontId="10" fillId="3" borderId="7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/>
  </cellStyles>
  <dxfs count="0"/>
  <tableStyles count="0" defaultTableStyle="TableStyleMedium9" defaultPivotStyle="PivotStyleLight16"/>
  <colors>
    <mruColors>
      <color rgb="FFFF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3</xdr:row>
      <xdr:rowOff>205023</xdr:rowOff>
    </xdr:from>
    <xdr:to>
      <xdr:col>11</xdr:col>
      <xdr:colOff>72717</xdr:colOff>
      <xdr:row>22</xdr:row>
      <xdr:rowOff>28575</xdr:rowOff>
    </xdr:to>
    <xdr:pic>
      <xdr:nvPicPr>
        <xdr:cNvPr id="2" name="그림 1" descr="GPI-8210_2 사본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63200" y="900348"/>
          <a:ext cx="4568517" cy="3843102"/>
        </a:xfrm>
        <a:prstGeom prst="rect">
          <a:avLst/>
        </a:prstGeom>
      </xdr:spPr>
    </xdr:pic>
    <xdr:clientData/>
  </xdr:twoCellAnchor>
  <xdr:twoCellAnchor>
    <xdr:from>
      <xdr:col>4</xdr:col>
      <xdr:colOff>504826</xdr:colOff>
      <xdr:row>27</xdr:row>
      <xdr:rowOff>0</xdr:rowOff>
    </xdr:from>
    <xdr:to>
      <xdr:col>9</xdr:col>
      <xdr:colOff>361950</xdr:colOff>
      <xdr:row>39</xdr:row>
      <xdr:rowOff>200025</xdr:rowOff>
    </xdr:to>
    <xdr:grpSp>
      <xdr:nvGrpSpPr>
        <xdr:cNvPr id="3" name="그룹 2"/>
        <xdr:cNvGrpSpPr/>
      </xdr:nvGrpSpPr>
      <xdr:grpSpPr>
        <a:xfrm>
          <a:off x="10563226" y="5762625"/>
          <a:ext cx="3286124" cy="2752725"/>
          <a:chOff x="5162550" y="723900"/>
          <a:chExt cx="3514725" cy="3438525"/>
        </a:xfrm>
      </xdr:grpSpPr>
      <xdr:sp macro="" textlink="">
        <xdr:nvSpPr>
          <xdr:cNvPr id="4" name="직사각형 3"/>
          <xdr:cNvSpPr/>
        </xdr:nvSpPr>
        <xdr:spPr>
          <a:xfrm>
            <a:off x="5162550" y="723900"/>
            <a:ext cx="3514725" cy="3438525"/>
          </a:xfrm>
          <a:prstGeom prst="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ko-KR" altLang="en-US" sz="1100"/>
          </a:p>
        </xdr:txBody>
      </xdr:sp>
      <xdr:sp macro="" textlink="">
        <xdr:nvSpPr>
          <xdr:cNvPr id="5" name="직사각형 4"/>
          <xdr:cNvSpPr/>
        </xdr:nvSpPr>
        <xdr:spPr>
          <a:xfrm>
            <a:off x="5581650" y="876299"/>
            <a:ext cx="628650" cy="1524001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ko-KR" altLang="en-US" sz="1000" b="0" i="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chemeClr val="tx2">
                    <a:lumMod val="60000"/>
                    <a:lumOff val="40000"/>
                  </a:schemeClr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모듈</a:t>
            </a:r>
            <a:r>
              <a:rPr lang="en-US" altLang="ko-KR" sz="1000" b="0" i="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chemeClr val="tx2">
                    <a:lumMod val="60000"/>
                    <a:lumOff val="40000"/>
                  </a:schemeClr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_1</a:t>
            </a:r>
            <a:endParaRPr lang="ko-KR" altLang="en-US" sz="1000" b="0" i="0" cap="none" spc="0" baseline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solidFill>
                <a:schemeClr val="tx2">
                  <a:lumMod val="60000"/>
                  <a:lumOff val="40000"/>
                </a:schemeClr>
              </a:solidFill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endParaRPr>
          </a:p>
        </xdr:txBody>
      </xdr:sp>
      <xdr:sp macro="" textlink="">
        <xdr:nvSpPr>
          <xdr:cNvPr id="6" name="직사각형 5"/>
          <xdr:cNvSpPr/>
        </xdr:nvSpPr>
        <xdr:spPr>
          <a:xfrm>
            <a:off x="6543675" y="895349"/>
            <a:ext cx="628650" cy="1524001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ko-KR" altLang="en-US" sz="1000" b="0" i="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chemeClr val="tx2">
                    <a:lumMod val="60000"/>
                    <a:lumOff val="40000"/>
                  </a:schemeClr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모듈</a:t>
            </a:r>
            <a:r>
              <a:rPr lang="en-US" altLang="ko-KR" sz="1000" b="0" i="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chemeClr val="tx2">
                    <a:lumMod val="60000"/>
                    <a:lumOff val="40000"/>
                  </a:schemeClr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_2</a:t>
            </a:r>
            <a:endParaRPr lang="ko-KR" altLang="en-US" sz="1000" b="0" i="0" cap="none" spc="0" baseline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solidFill>
                <a:schemeClr val="tx2">
                  <a:lumMod val="60000"/>
                  <a:lumOff val="40000"/>
                </a:schemeClr>
              </a:solidFill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endParaRPr>
          </a:p>
        </xdr:txBody>
      </xdr:sp>
      <xdr:sp macro="" textlink="">
        <xdr:nvSpPr>
          <xdr:cNvPr id="7" name="직사각형 6"/>
          <xdr:cNvSpPr/>
        </xdr:nvSpPr>
        <xdr:spPr>
          <a:xfrm>
            <a:off x="7477125" y="876299"/>
            <a:ext cx="628650" cy="1524001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ko-KR" altLang="en-US" sz="1000" b="0" i="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chemeClr val="tx2">
                    <a:lumMod val="60000"/>
                    <a:lumOff val="40000"/>
                  </a:schemeClr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모듈</a:t>
            </a:r>
            <a:r>
              <a:rPr lang="en-US" altLang="ko-KR" sz="1000" b="0" i="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chemeClr val="tx2">
                    <a:lumMod val="60000"/>
                    <a:lumOff val="40000"/>
                  </a:schemeClr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_3</a:t>
            </a:r>
            <a:endParaRPr lang="ko-KR" altLang="en-US" sz="1000" b="0" i="0" cap="none" spc="0" baseline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solidFill>
                <a:schemeClr val="tx2">
                  <a:lumMod val="60000"/>
                  <a:lumOff val="40000"/>
                </a:schemeClr>
              </a:solidFill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endParaRPr>
          </a:p>
        </xdr:txBody>
      </xdr:sp>
      <xdr:sp macro="" textlink="">
        <xdr:nvSpPr>
          <xdr:cNvPr id="8" name="직사각형 7"/>
          <xdr:cNvSpPr/>
        </xdr:nvSpPr>
        <xdr:spPr>
          <a:xfrm>
            <a:off x="5610225" y="2514599"/>
            <a:ext cx="628650" cy="1524001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ko-KR" altLang="en-US" sz="1000" b="0" i="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chemeClr val="tx2">
                    <a:lumMod val="60000"/>
                    <a:lumOff val="40000"/>
                  </a:schemeClr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모듈</a:t>
            </a:r>
            <a:r>
              <a:rPr lang="en-US" altLang="ko-KR" sz="1000" b="0" i="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chemeClr val="tx2">
                    <a:lumMod val="60000"/>
                    <a:lumOff val="40000"/>
                  </a:schemeClr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_4</a:t>
            </a:r>
            <a:endParaRPr lang="ko-KR" altLang="en-US" sz="1000" b="0" i="0" cap="none" spc="0" baseline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solidFill>
                <a:schemeClr val="tx2">
                  <a:lumMod val="60000"/>
                  <a:lumOff val="40000"/>
                </a:schemeClr>
              </a:solidFill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endParaRPr>
          </a:p>
        </xdr:txBody>
      </xdr:sp>
      <xdr:sp macro="" textlink="">
        <xdr:nvSpPr>
          <xdr:cNvPr id="9" name="직사각형 8"/>
          <xdr:cNvSpPr/>
        </xdr:nvSpPr>
        <xdr:spPr>
          <a:xfrm>
            <a:off x="6553200" y="2533649"/>
            <a:ext cx="628650" cy="1524001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ko-KR" altLang="en-US" sz="1000" b="0" i="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chemeClr val="tx2">
                    <a:lumMod val="60000"/>
                    <a:lumOff val="40000"/>
                  </a:schemeClr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모듈</a:t>
            </a:r>
            <a:r>
              <a:rPr lang="en-US" altLang="ko-KR" sz="1000" b="0" i="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chemeClr val="tx2">
                    <a:lumMod val="60000"/>
                    <a:lumOff val="40000"/>
                  </a:schemeClr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_5</a:t>
            </a:r>
            <a:endParaRPr lang="ko-KR" altLang="en-US" sz="1000" b="0" i="0" cap="none" spc="0" baseline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solidFill>
                <a:schemeClr val="tx2">
                  <a:lumMod val="60000"/>
                  <a:lumOff val="40000"/>
                </a:schemeClr>
              </a:solidFill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endParaRPr>
          </a:p>
        </xdr:txBody>
      </xdr:sp>
      <xdr:sp macro="" textlink="">
        <xdr:nvSpPr>
          <xdr:cNvPr id="10" name="직사각형 9"/>
          <xdr:cNvSpPr/>
        </xdr:nvSpPr>
        <xdr:spPr>
          <a:xfrm>
            <a:off x="7496175" y="2524124"/>
            <a:ext cx="628650" cy="1524001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ko-KR" altLang="en-US" sz="1000" b="0" i="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chemeClr val="tx2">
                    <a:lumMod val="60000"/>
                    <a:lumOff val="40000"/>
                  </a:schemeClr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모듈</a:t>
            </a:r>
            <a:r>
              <a:rPr lang="en-US" altLang="ko-KR" sz="1000" b="0" i="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chemeClr val="tx2">
                    <a:lumMod val="60000"/>
                    <a:lumOff val="40000"/>
                  </a:schemeClr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_6</a:t>
            </a:r>
            <a:endParaRPr lang="ko-KR" altLang="en-US" sz="1000" b="0" i="0" cap="none" spc="0" baseline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solidFill>
                <a:schemeClr val="tx2">
                  <a:lumMod val="60000"/>
                  <a:lumOff val="40000"/>
                </a:schemeClr>
              </a:solidFill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57151</xdr:colOff>
      <xdr:row>3</xdr:row>
      <xdr:rowOff>85725</xdr:rowOff>
    </xdr:from>
    <xdr:to>
      <xdr:col>12</xdr:col>
      <xdr:colOff>666750</xdr:colOff>
      <xdr:row>25</xdr:row>
      <xdr:rowOff>114785</xdr:rowOff>
    </xdr:to>
    <xdr:grpSp>
      <xdr:nvGrpSpPr>
        <xdr:cNvPr id="4" name="그룹 3"/>
        <xdr:cNvGrpSpPr/>
      </xdr:nvGrpSpPr>
      <xdr:grpSpPr>
        <a:xfrm>
          <a:off x="180416" y="780490"/>
          <a:ext cx="8128746" cy="4713119"/>
          <a:chOff x="181709" y="781783"/>
          <a:chExt cx="8185637" cy="4703637"/>
        </a:xfrm>
      </xdr:grpSpPr>
      <xdr:pic>
        <xdr:nvPicPr>
          <xdr:cNvPr id="2" name="_x188384120" descr="EMB00000ed80b76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1709" y="781783"/>
            <a:ext cx="8185637" cy="4703637"/>
          </a:xfrm>
          <a:prstGeom prst="rect">
            <a:avLst/>
          </a:prstGeom>
          <a:noFill/>
          <a:effectLst>
            <a:glow rad="139700">
              <a:schemeClr val="accent2">
                <a:satMod val="175000"/>
                <a:alpha val="40000"/>
              </a:schemeClr>
            </a:glow>
            <a:outerShdw blurRad="76200" dir="18900000" sy="23000" kx="-1200000" algn="bl" rotWithShape="0">
              <a:prstClr val="black">
                <a:alpha val="20000"/>
              </a:prstClr>
            </a:outerShdw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" name="그림 2" descr="화장판_2안.jpg"/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4274801" y="3211938"/>
            <a:ext cx="1586737" cy="913576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-tech\&#44277;&#53685;&#51088;&#47308;\&#49345;&#44228;&#46041;\&#51064;&#46356;&#52992;&#51060;&#53552;\&#48148;&#49548;&#51064;&#46356;&#44172;&#51060;&#53552;\PL\Ver1.01\PARTLIST\GI81_IC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tech\1.&#44277;&#53685;&#47928;&#49436;\user\SON\N067PSC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tech\1.&#44277;&#53685;&#47928;&#49436;\3950teu\N063PSC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\g-tech\My%20Documents\CRGI%20PPAP\&#44592;&#53440;\&#49900;&#49324;\&#45824;&#50864;&#44277;&#51221;&#45733;&#47141;&#48516;&#4943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P PL"/>
      <sheetName val="cooler PL"/>
      <sheetName val="GI81_ICH"/>
      <sheetName val="ALL"/>
      <sheetName val="VIP"/>
      <sheetName val="미진"/>
      <sheetName val="GLO-LEE"/>
      <sheetName val="GI8000L PL"/>
      <sheetName val="GI8000PL"/>
      <sheetName val="PCB 가격"/>
      <sheetName val="VIP 가격표"/>
      <sheetName val="대한제분"/>
      <sheetName val="COOLER미진"/>
      <sheetName val="PP%계산"/>
      <sheetName val="적찰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수"/>
      <sheetName val="P00"/>
      <sheetName val="P01"/>
      <sheetName val="P02"/>
      <sheetName val="P03"/>
      <sheetName val="P04"/>
      <sheetName val="P05"/>
      <sheetName val="P06"/>
      <sheetName val="P07"/>
      <sheetName val="P08"/>
      <sheetName val="P0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7"/>
      <sheetName val="MA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수"/>
      <sheetName val="P00"/>
      <sheetName val="P01"/>
      <sheetName val="P02"/>
      <sheetName val="P03"/>
      <sheetName val="P04"/>
      <sheetName val="P05"/>
      <sheetName val="P06(2)"/>
      <sheetName val="P07"/>
      <sheetName val="P08"/>
      <sheetName val="P0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7"/>
      <sheetName val="MAT"/>
      <sheetName val="요약대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VXXXXXXXXXXXXXXXXXXXXXXXX"/>
      <sheetName val="PP%계산"/>
      <sheetName val="DATA(PP%)"/>
      <sheetName val="PC%계산"/>
      <sheetName val="PC%계산 (2)"/>
      <sheetName val="4554"/>
      <sheetName val="3128"/>
      <sheetName val="3128 (2)"/>
      <sheetName val="대우공정능력분석"/>
      <sheetName val="Macro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3"/>
  <sheetViews>
    <sheetView tabSelected="1" workbookViewId="0">
      <selection activeCell="B2" sqref="B2:D2"/>
    </sheetView>
  </sheetViews>
  <sheetFormatPr defaultRowHeight="16.5"/>
  <cols>
    <col min="1" max="1" width="1.625" customWidth="1"/>
    <col min="2" max="2" width="37.375" bestFit="1" customWidth="1"/>
    <col min="3" max="3" width="40.375" bestFit="1" customWidth="1"/>
    <col min="4" max="4" width="52.625" customWidth="1"/>
  </cols>
  <sheetData>
    <row r="1" spans="1:7" ht="9.9499999999999993" customHeight="1"/>
    <row r="2" spans="1:7" s="6" customFormat="1" ht="30" customHeight="1">
      <c r="A2" s="4"/>
      <c r="B2" s="60" t="s">
        <v>64</v>
      </c>
      <c r="C2" s="60"/>
      <c r="D2" s="60"/>
      <c r="E2" s="4"/>
      <c r="F2" s="4"/>
    </row>
    <row r="3" spans="1:7" s="6" customFormat="1" ht="15" customHeight="1">
      <c r="A3" s="4"/>
      <c r="B3" s="5"/>
      <c r="C3" s="4"/>
      <c r="D3" s="4"/>
      <c r="E3" s="4"/>
      <c r="F3" s="4"/>
    </row>
    <row r="4" spans="1:7" ht="17.100000000000001" customHeight="1">
      <c r="B4" s="12" t="s">
        <v>114</v>
      </c>
      <c r="C4" s="1"/>
    </row>
    <row r="5" spans="1:7" s="6" customFormat="1" ht="20.100000000000001" customHeight="1">
      <c r="A5" s="7"/>
      <c r="B5" s="8" t="s">
        <v>33</v>
      </c>
      <c r="C5" s="8" t="s">
        <v>37</v>
      </c>
      <c r="D5" s="8" t="s">
        <v>34</v>
      </c>
      <c r="F5" s="7"/>
      <c r="G5" s="7"/>
    </row>
    <row r="6" spans="1:7" ht="17.100000000000001" customHeight="1">
      <c r="B6" s="63" t="s">
        <v>21</v>
      </c>
      <c r="C6" s="13" t="s">
        <v>52</v>
      </c>
      <c r="D6" s="59" t="s">
        <v>22</v>
      </c>
    </row>
    <row r="7" spans="1:7" ht="17.100000000000001" customHeight="1">
      <c r="B7" s="63"/>
      <c r="C7" s="13" t="s">
        <v>51</v>
      </c>
      <c r="D7" s="59"/>
    </row>
    <row r="8" spans="1:7" ht="17.100000000000001" customHeight="1">
      <c r="B8" s="63"/>
      <c r="C8" s="13" t="s">
        <v>116</v>
      </c>
      <c r="D8" s="59"/>
    </row>
    <row r="9" spans="1:7" ht="17.100000000000001" customHeight="1">
      <c r="B9" s="63" t="s">
        <v>0</v>
      </c>
      <c r="C9" s="50" t="s">
        <v>53</v>
      </c>
      <c r="D9" s="9"/>
    </row>
    <row r="10" spans="1:7" ht="17.100000000000001" customHeight="1">
      <c r="B10" s="63"/>
      <c r="C10" s="13" t="s">
        <v>54</v>
      </c>
      <c r="D10" s="9"/>
    </row>
    <row r="11" spans="1:7" ht="17.100000000000001" customHeight="1">
      <c r="B11" s="63"/>
      <c r="C11" s="13" t="s">
        <v>55</v>
      </c>
      <c r="D11" s="9"/>
    </row>
    <row r="12" spans="1:7" ht="17.100000000000001" customHeight="1">
      <c r="B12" s="57" t="s">
        <v>1</v>
      </c>
      <c r="C12" s="50" t="s">
        <v>56</v>
      </c>
      <c r="D12" s="9"/>
    </row>
    <row r="13" spans="1:7" ht="17.100000000000001" customHeight="1">
      <c r="B13" s="58"/>
      <c r="C13" s="15" t="s">
        <v>121</v>
      </c>
      <c r="D13" s="9"/>
    </row>
    <row r="14" spans="1:7" ht="17.100000000000001" customHeight="1">
      <c r="B14" s="63" t="s">
        <v>11</v>
      </c>
      <c r="C14" s="13" t="s">
        <v>50</v>
      </c>
      <c r="D14" s="9"/>
    </row>
    <row r="15" spans="1:7" ht="17.100000000000001" customHeight="1">
      <c r="B15" s="63"/>
      <c r="C15" s="13" t="s">
        <v>49</v>
      </c>
      <c r="D15" s="9"/>
    </row>
    <row r="16" spans="1:7" ht="17.100000000000001" customHeight="1">
      <c r="B16" s="63"/>
      <c r="C16" s="13" t="s">
        <v>48</v>
      </c>
      <c r="D16" s="9"/>
    </row>
    <row r="17" spans="2:4" ht="17.100000000000001" customHeight="1">
      <c r="B17" s="63" t="s">
        <v>2</v>
      </c>
      <c r="C17" s="13" t="s">
        <v>47</v>
      </c>
      <c r="D17" s="9"/>
    </row>
    <row r="18" spans="2:4" ht="17.100000000000001" customHeight="1">
      <c r="B18" s="63"/>
      <c r="C18" s="13" t="s">
        <v>46</v>
      </c>
      <c r="D18" s="9"/>
    </row>
    <row r="19" spans="2:4" ht="17.100000000000001" customHeight="1">
      <c r="B19" s="63"/>
      <c r="C19" s="13" t="s">
        <v>112</v>
      </c>
      <c r="D19" s="9"/>
    </row>
    <row r="20" spans="2:4" ht="17.100000000000001" customHeight="1">
      <c r="B20" s="63" t="s">
        <v>23</v>
      </c>
      <c r="C20" s="13" t="s">
        <v>45</v>
      </c>
      <c r="D20" s="9"/>
    </row>
    <row r="21" spans="2:4" ht="17.100000000000001" customHeight="1">
      <c r="B21" s="63"/>
      <c r="C21" s="13" t="s">
        <v>44</v>
      </c>
      <c r="D21" s="9"/>
    </row>
    <row r="22" spans="2:4" ht="17.100000000000001" customHeight="1">
      <c r="B22" s="63" t="s">
        <v>3</v>
      </c>
      <c r="C22" s="13" t="s">
        <v>43</v>
      </c>
      <c r="D22" s="9"/>
    </row>
    <row r="23" spans="2:4" ht="17.100000000000001" customHeight="1">
      <c r="B23" s="63"/>
      <c r="C23" s="13" t="s">
        <v>42</v>
      </c>
      <c r="D23" s="9"/>
    </row>
    <row r="24" spans="2:4" ht="17.100000000000001" customHeight="1">
      <c r="B24" s="57" t="s">
        <v>71</v>
      </c>
      <c r="C24" s="51" t="s">
        <v>124</v>
      </c>
      <c r="D24" s="9"/>
    </row>
    <row r="25" spans="2:4" ht="17.100000000000001" customHeight="1">
      <c r="B25" s="58"/>
      <c r="C25" s="51" t="s">
        <v>123</v>
      </c>
      <c r="D25" s="9"/>
    </row>
    <row r="27" spans="2:4" ht="17.100000000000001" customHeight="1">
      <c r="B27" s="12" t="s">
        <v>36</v>
      </c>
      <c r="C27" s="1"/>
    </row>
    <row r="28" spans="2:4" ht="20.100000000000001" customHeight="1">
      <c r="B28" s="8" t="s">
        <v>33</v>
      </c>
      <c r="C28" s="61" t="s">
        <v>37</v>
      </c>
      <c r="D28" s="62"/>
    </row>
    <row r="29" spans="2:4" ht="17.100000000000001" customHeight="1">
      <c r="B29" s="64" t="s">
        <v>110</v>
      </c>
      <c r="C29" s="55" t="s">
        <v>121</v>
      </c>
      <c r="D29" s="56"/>
    </row>
    <row r="30" spans="2:4" ht="17.100000000000001" customHeight="1">
      <c r="B30" s="65"/>
      <c r="C30" s="55" t="s">
        <v>119</v>
      </c>
      <c r="D30" s="56"/>
    </row>
    <row r="31" spans="2:4" ht="17.100000000000001" customHeight="1">
      <c r="B31" s="14" t="s">
        <v>8</v>
      </c>
      <c r="C31" s="52" t="s">
        <v>58</v>
      </c>
      <c r="D31" s="53"/>
    </row>
    <row r="32" spans="2:4" ht="17.100000000000001" customHeight="1">
      <c r="B32" s="14" t="s">
        <v>5</v>
      </c>
      <c r="C32" s="52" t="s">
        <v>40</v>
      </c>
      <c r="D32" s="53"/>
    </row>
    <row r="33" spans="2:4" ht="17.100000000000001" customHeight="1">
      <c r="B33" s="64" t="s">
        <v>18</v>
      </c>
      <c r="C33" s="67" t="s">
        <v>111</v>
      </c>
      <c r="D33" s="68"/>
    </row>
    <row r="34" spans="2:4" ht="17.100000000000001" customHeight="1">
      <c r="B34" s="65"/>
      <c r="C34" s="55" t="s">
        <v>120</v>
      </c>
      <c r="D34" s="56"/>
    </row>
    <row r="35" spans="2:4" ht="17.100000000000001" customHeight="1">
      <c r="B35" s="14" t="s">
        <v>39</v>
      </c>
      <c r="C35" s="52" t="s">
        <v>57</v>
      </c>
      <c r="D35" s="53"/>
    </row>
    <row r="36" spans="2:4" ht="17.100000000000001" customHeight="1">
      <c r="B36" s="14" t="s">
        <v>59</v>
      </c>
      <c r="C36" s="52" t="s">
        <v>60</v>
      </c>
      <c r="D36" s="53"/>
    </row>
    <row r="37" spans="2:4" ht="17.100000000000001" customHeight="1">
      <c r="B37" s="64" t="s">
        <v>9</v>
      </c>
      <c r="C37" s="52" t="s">
        <v>61</v>
      </c>
      <c r="D37" s="53"/>
    </row>
    <row r="38" spans="2:4" ht="17.100000000000001" customHeight="1">
      <c r="B38" s="66"/>
      <c r="C38" s="52" t="s">
        <v>62</v>
      </c>
      <c r="D38" s="53"/>
    </row>
    <row r="39" spans="2:4" ht="17.100000000000001" customHeight="1">
      <c r="B39" s="65"/>
      <c r="C39" s="52" t="s">
        <v>63</v>
      </c>
      <c r="D39" s="53"/>
    </row>
    <row r="40" spans="2:4" ht="17.100000000000001" customHeight="1">
      <c r="B40" s="14" t="s">
        <v>10</v>
      </c>
      <c r="C40" s="52" t="s">
        <v>115</v>
      </c>
      <c r="D40" s="53"/>
    </row>
    <row r="41" spans="2:4" ht="17.100000000000001" customHeight="1">
      <c r="B41" s="54" t="s">
        <v>117</v>
      </c>
      <c r="C41" s="52" t="s">
        <v>118</v>
      </c>
      <c r="D41" s="53"/>
    </row>
    <row r="42" spans="2:4" ht="17.100000000000001" customHeight="1">
      <c r="B42" s="54"/>
      <c r="C42" s="55" t="s">
        <v>119</v>
      </c>
      <c r="D42" s="56"/>
    </row>
    <row r="44" spans="2:4" ht="17.100000000000001" customHeight="1">
      <c r="B44" s="12" t="s">
        <v>24</v>
      </c>
      <c r="C44" s="1"/>
    </row>
    <row r="45" spans="2:4" ht="20.100000000000001" customHeight="1">
      <c r="B45" s="8" t="s">
        <v>35</v>
      </c>
      <c r="C45" s="61" t="s">
        <v>38</v>
      </c>
      <c r="D45" s="62"/>
    </row>
    <row r="46" spans="2:4" ht="17.100000000000001" customHeight="1">
      <c r="B46" s="14" t="s">
        <v>25</v>
      </c>
      <c r="C46" s="52" t="s">
        <v>28</v>
      </c>
      <c r="D46" s="53"/>
    </row>
    <row r="47" spans="2:4" ht="17.100000000000001" customHeight="1">
      <c r="B47" s="11" t="s">
        <v>4</v>
      </c>
      <c r="C47" s="52" t="s">
        <v>29</v>
      </c>
      <c r="D47" s="53"/>
    </row>
    <row r="48" spans="2:4" ht="17.100000000000001" customHeight="1">
      <c r="B48" s="11" t="s">
        <v>7</v>
      </c>
      <c r="C48" s="52" t="s">
        <v>30</v>
      </c>
      <c r="D48" s="53"/>
    </row>
    <row r="49" spans="2:4" ht="17.100000000000001" customHeight="1">
      <c r="B49" s="11" t="s">
        <v>26</v>
      </c>
      <c r="C49" s="52" t="s">
        <v>31</v>
      </c>
      <c r="D49" s="53"/>
    </row>
    <row r="50" spans="2:4" ht="17.100000000000001" customHeight="1">
      <c r="B50" s="63" t="s">
        <v>6</v>
      </c>
      <c r="C50" s="52" t="s">
        <v>113</v>
      </c>
      <c r="D50" s="53"/>
    </row>
    <row r="51" spans="2:4" ht="17.100000000000001" customHeight="1">
      <c r="B51" s="63"/>
      <c r="C51" s="52" t="s">
        <v>27</v>
      </c>
      <c r="D51" s="53"/>
    </row>
    <row r="52" spans="2:4" ht="17.100000000000001" customHeight="1">
      <c r="B52" s="63"/>
      <c r="C52" s="52" t="s">
        <v>32</v>
      </c>
      <c r="D52" s="53"/>
    </row>
    <row r="53" spans="2:4" ht="17.100000000000001" customHeight="1">
      <c r="B53" s="11" t="s">
        <v>17</v>
      </c>
      <c r="C53" s="52" t="s">
        <v>41</v>
      </c>
      <c r="D53" s="53"/>
    </row>
  </sheetData>
  <mergeCells count="39">
    <mergeCell ref="C53:D53"/>
    <mergeCell ref="C52:D52"/>
    <mergeCell ref="C47:D47"/>
    <mergeCell ref="C48:D48"/>
    <mergeCell ref="C49:D49"/>
    <mergeCell ref="C50:D50"/>
    <mergeCell ref="C51:D51"/>
    <mergeCell ref="B2:D2"/>
    <mergeCell ref="C45:D45"/>
    <mergeCell ref="C46:D46"/>
    <mergeCell ref="B50:B52"/>
    <mergeCell ref="B17:B19"/>
    <mergeCell ref="B20:B21"/>
    <mergeCell ref="B22:B23"/>
    <mergeCell ref="B14:B16"/>
    <mergeCell ref="B6:B8"/>
    <mergeCell ref="B9:B11"/>
    <mergeCell ref="B12:B13"/>
    <mergeCell ref="B33:B34"/>
    <mergeCell ref="C34:D34"/>
    <mergeCell ref="B29:B30"/>
    <mergeCell ref="C30:D30"/>
    <mergeCell ref="C40:D40"/>
    <mergeCell ref="C41:D41"/>
    <mergeCell ref="B41:B42"/>
    <mergeCell ref="C42:D42"/>
    <mergeCell ref="B24:B25"/>
    <mergeCell ref="D6:D8"/>
    <mergeCell ref="C28:D28"/>
    <mergeCell ref="C31:D31"/>
    <mergeCell ref="B37:B39"/>
    <mergeCell ref="C32:D32"/>
    <mergeCell ref="C33:D33"/>
    <mergeCell ref="C35:D35"/>
    <mergeCell ref="C36:D36"/>
    <mergeCell ref="C37:D37"/>
    <mergeCell ref="C38:D38"/>
    <mergeCell ref="C39:D39"/>
    <mergeCell ref="C29:D29"/>
  </mergeCells>
  <phoneticPr fontId="1" type="noConversion"/>
  <printOptions horizontalCentered="1"/>
  <pageMargins left="0.59055118110236227" right="0.59055118110236227" top="0.78740157480314965" bottom="0.59055118110236227" header="0" footer="0"/>
  <pageSetup paperSize="9" scale="9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"/>
  <sheetViews>
    <sheetView zoomScale="85" zoomScaleNormal="85" workbookViewId="0">
      <selection activeCell="B2" sqref="B2:M2"/>
    </sheetView>
  </sheetViews>
  <sheetFormatPr defaultRowHeight="16.5"/>
  <cols>
    <col min="1" max="1" width="1.625" customWidth="1"/>
  </cols>
  <sheetData>
    <row r="1" spans="2:13" ht="9.9499999999999993" customHeight="1"/>
    <row r="2" spans="2:13" ht="30" customHeight="1">
      <c r="B2" s="60" t="s">
        <v>65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2:13" ht="15" customHeight="1">
      <c r="E3" s="3"/>
      <c r="F3" s="3"/>
    </row>
  </sheetData>
  <mergeCells count="1">
    <mergeCell ref="B2:M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15"/>
  <sheetViews>
    <sheetView workbookViewId="0">
      <selection activeCell="B2" sqref="B2:H2"/>
    </sheetView>
  </sheetViews>
  <sheetFormatPr defaultRowHeight="16.5"/>
  <cols>
    <col min="1" max="1" width="1.625" customWidth="1"/>
    <col min="2" max="2" width="12.625" customWidth="1"/>
    <col min="3" max="3" width="30.625" customWidth="1"/>
    <col min="4" max="5" width="12.625" customWidth="1"/>
    <col min="6" max="6" width="30.625" customWidth="1"/>
    <col min="7" max="7" width="12.625" customWidth="1"/>
    <col min="8" max="8" width="24.25" bestFit="1" customWidth="1"/>
  </cols>
  <sheetData>
    <row r="1" spans="2:8" ht="9.9499999999999993" customHeight="1"/>
    <row r="2" spans="2:8" ht="30" customHeight="1">
      <c r="B2" s="60" t="s">
        <v>80</v>
      </c>
      <c r="C2" s="60"/>
      <c r="D2" s="60"/>
      <c r="E2" s="60"/>
      <c r="F2" s="60"/>
      <c r="G2" s="60"/>
      <c r="H2" s="60"/>
    </row>
    <row r="3" spans="2:8" ht="15" customHeight="1" thickBot="1"/>
    <row r="4" spans="2:8" ht="20.100000000000001" customHeight="1">
      <c r="B4" s="20" t="s">
        <v>67</v>
      </c>
      <c r="C4" s="21" t="s">
        <v>68</v>
      </c>
      <c r="D4" s="25" t="s">
        <v>69</v>
      </c>
      <c r="E4" s="24" t="s">
        <v>67</v>
      </c>
      <c r="F4" s="21" t="s">
        <v>68</v>
      </c>
      <c r="G4" s="21" t="s">
        <v>79</v>
      </c>
      <c r="H4" s="22" t="s">
        <v>20</v>
      </c>
    </row>
    <row r="5" spans="2:8" ht="17.100000000000001" customHeight="1">
      <c r="B5" s="72" t="s">
        <v>70</v>
      </c>
      <c r="C5" s="9" t="s">
        <v>71</v>
      </c>
      <c r="D5" s="26">
        <v>58000</v>
      </c>
      <c r="E5" s="73" t="s">
        <v>66</v>
      </c>
      <c r="F5" s="9" t="s">
        <v>71</v>
      </c>
      <c r="G5" s="16">
        <v>50000</v>
      </c>
      <c r="H5" s="18"/>
    </row>
    <row r="6" spans="2:8" ht="17.100000000000001" customHeight="1">
      <c r="B6" s="72"/>
      <c r="C6" s="9" t="s">
        <v>72</v>
      </c>
      <c r="D6" s="26">
        <v>42000</v>
      </c>
      <c r="E6" s="73"/>
      <c r="F6" s="9" t="s">
        <v>122</v>
      </c>
      <c r="G6" s="16">
        <v>80000</v>
      </c>
      <c r="H6" s="18"/>
    </row>
    <row r="7" spans="2:8" ht="17.100000000000001" customHeight="1">
      <c r="B7" s="72"/>
      <c r="C7" s="9" t="s">
        <v>12</v>
      </c>
      <c r="D7" s="26">
        <v>23000</v>
      </c>
      <c r="E7" s="73"/>
      <c r="F7" s="2"/>
      <c r="G7" s="2"/>
      <c r="H7" s="18"/>
    </row>
    <row r="8" spans="2:8" ht="17.100000000000001" customHeight="1">
      <c r="B8" s="72"/>
      <c r="C8" s="9" t="s">
        <v>13</v>
      </c>
      <c r="D8" s="26">
        <v>13000</v>
      </c>
      <c r="E8" s="73"/>
      <c r="F8" s="9" t="s">
        <v>75</v>
      </c>
      <c r="G8" s="16">
        <v>35000</v>
      </c>
      <c r="H8" s="18"/>
    </row>
    <row r="9" spans="2:8" ht="17.100000000000001" customHeight="1">
      <c r="B9" s="72"/>
      <c r="C9" s="9" t="s">
        <v>14</v>
      </c>
      <c r="D9" s="26">
        <v>10000</v>
      </c>
      <c r="E9" s="73"/>
      <c r="F9" s="9" t="s">
        <v>14</v>
      </c>
      <c r="G9" s="16">
        <v>15000</v>
      </c>
      <c r="H9" s="18"/>
    </row>
    <row r="10" spans="2:8" ht="17.100000000000001" customHeight="1">
      <c r="B10" s="72"/>
      <c r="C10" s="9" t="s">
        <v>15</v>
      </c>
      <c r="D10" s="26">
        <v>8000</v>
      </c>
      <c r="E10" s="73"/>
      <c r="F10" s="9" t="s">
        <v>15</v>
      </c>
      <c r="G10" s="16">
        <v>15000</v>
      </c>
      <c r="H10" s="18"/>
    </row>
    <row r="11" spans="2:8" ht="17.100000000000001" customHeight="1">
      <c r="B11" s="72"/>
      <c r="C11" s="9" t="s">
        <v>73</v>
      </c>
      <c r="D11" s="26">
        <v>72000</v>
      </c>
      <c r="E11" s="73"/>
      <c r="F11" s="9"/>
      <c r="G11" s="16"/>
      <c r="H11" s="18"/>
    </row>
    <row r="12" spans="2:8" ht="17.100000000000001" customHeight="1">
      <c r="B12" s="72"/>
      <c r="C12" s="9" t="s">
        <v>74</v>
      </c>
      <c r="D12" s="26">
        <v>18000</v>
      </c>
      <c r="E12" s="73"/>
      <c r="F12" s="9" t="s">
        <v>74</v>
      </c>
      <c r="G12" s="16">
        <v>15000</v>
      </c>
      <c r="H12" s="18"/>
    </row>
    <row r="13" spans="2:8" ht="17.100000000000001" customHeight="1">
      <c r="B13" s="72"/>
      <c r="C13" s="9"/>
      <c r="D13" s="27"/>
      <c r="E13" s="73"/>
      <c r="F13" s="10" t="s">
        <v>76</v>
      </c>
      <c r="G13" s="17">
        <v>60000</v>
      </c>
      <c r="H13" s="18"/>
    </row>
    <row r="14" spans="2:8" ht="17.100000000000001" customHeight="1">
      <c r="B14" s="72"/>
      <c r="C14" s="9"/>
      <c r="D14" s="27"/>
      <c r="E14" s="73"/>
      <c r="F14" s="10" t="s">
        <v>16</v>
      </c>
      <c r="G14" s="17">
        <v>80000</v>
      </c>
      <c r="H14" s="18"/>
    </row>
    <row r="15" spans="2:8" ht="17.100000000000001" customHeight="1" thickBot="1">
      <c r="B15" s="69" t="s">
        <v>77</v>
      </c>
      <c r="C15" s="70"/>
      <c r="D15" s="28">
        <f>SUM(D5:D12)</f>
        <v>244000</v>
      </c>
      <c r="E15" s="71" t="s">
        <v>77</v>
      </c>
      <c r="F15" s="70"/>
      <c r="G15" s="23">
        <f>SUM(G5:G14)</f>
        <v>350000</v>
      </c>
      <c r="H15" s="19" t="s">
        <v>78</v>
      </c>
    </row>
  </sheetData>
  <mergeCells count="5">
    <mergeCell ref="B15:C15"/>
    <mergeCell ref="E15:F15"/>
    <mergeCell ref="B5:B14"/>
    <mergeCell ref="E5:E14"/>
    <mergeCell ref="B2:H2"/>
  </mergeCells>
  <phoneticPr fontId="9" type="noConversion"/>
  <printOptions horizontalCentered="1"/>
  <pageMargins left="0.19685039370078741" right="0.19685039370078741" top="0.78740157480314965" bottom="0.39370078740157483" header="0" footer="0"/>
  <pageSetup paperSize="9" scale="9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82"/>
  <sheetViews>
    <sheetView workbookViewId="0">
      <selection activeCell="F7" sqref="F7"/>
    </sheetView>
  </sheetViews>
  <sheetFormatPr defaultRowHeight="13.5"/>
  <cols>
    <col min="1" max="1" width="1.625" style="31" customWidth="1"/>
    <col min="2" max="2" width="5.125" style="31" customWidth="1"/>
    <col min="3" max="3" width="28.375" style="31" customWidth="1"/>
    <col min="4" max="4" width="22.875" style="31" customWidth="1"/>
    <col min="5" max="5" width="12.875" style="31" customWidth="1"/>
    <col min="6" max="7" width="6.875" style="31" customWidth="1"/>
    <col min="8" max="8" width="11.375" style="31" customWidth="1"/>
    <col min="9" max="9" width="13.375" style="31" customWidth="1"/>
    <col min="10" max="10" width="18.625" style="31" customWidth="1"/>
    <col min="11" max="256" width="9" style="31"/>
    <col min="257" max="257" width="1.125" style="31" customWidth="1"/>
    <col min="258" max="258" width="5.125" style="31" customWidth="1"/>
    <col min="259" max="259" width="28.375" style="31" customWidth="1"/>
    <col min="260" max="260" width="22.875" style="31" customWidth="1"/>
    <col min="261" max="261" width="12.875" style="31" customWidth="1"/>
    <col min="262" max="263" width="6.875" style="31" customWidth="1"/>
    <col min="264" max="264" width="11.375" style="31" customWidth="1"/>
    <col min="265" max="265" width="13.375" style="31" customWidth="1"/>
    <col min="266" max="266" width="18.625" style="31" customWidth="1"/>
    <col min="267" max="512" width="9" style="31"/>
    <col min="513" max="513" width="1.125" style="31" customWidth="1"/>
    <col min="514" max="514" width="5.125" style="31" customWidth="1"/>
    <col min="515" max="515" width="28.375" style="31" customWidth="1"/>
    <col min="516" max="516" width="22.875" style="31" customWidth="1"/>
    <col min="517" max="517" width="12.875" style="31" customWidth="1"/>
    <col min="518" max="519" width="6.875" style="31" customWidth="1"/>
    <col min="520" max="520" width="11.375" style="31" customWidth="1"/>
    <col min="521" max="521" width="13.375" style="31" customWidth="1"/>
    <col min="522" max="522" width="18.625" style="31" customWidth="1"/>
    <col min="523" max="768" width="9" style="31"/>
    <col min="769" max="769" width="1.125" style="31" customWidth="1"/>
    <col min="770" max="770" width="5.125" style="31" customWidth="1"/>
    <col min="771" max="771" width="28.375" style="31" customWidth="1"/>
    <col min="772" max="772" width="22.875" style="31" customWidth="1"/>
    <col min="773" max="773" width="12.875" style="31" customWidth="1"/>
    <col min="774" max="775" width="6.875" style="31" customWidth="1"/>
    <col min="776" max="776" width="11.375" style="31" customWidth="1"/>
    <col min="777" max="777" width="13.375" style="31" customWidth="1"/>
    <col min="778" max="778" width="18.625" style="31" customWidth="1"/>
    <col min="779" max="1024" width="9" style="31"/>
    <col min="1025" max="1025" width="1.125" style="31" customWidth="1"/>
    <col min="1026" max="1026" width="5.125" style="31" customWidth="1"/>
    <col min="1027" max="1027" width="28.375" style="31" customWidth="1"/>
    <col min="1028" max="1028" width="22.875" style="31" customWidth="1"/>
    <col min="1029" max="1029" width="12.875" style="31" customWidth="1"/>
    <col min="1030" max="1031" width="6.875" style="31" customWidth="1"/>
    <col min="1032" max="1032" width="11.375" style="31" customWidth="1"/>
    <col min="1033" max="1033" width="13.375" style="31" customWidth="1"/>
    <col min="1034" max="1034" width="18.625" style="31" customWidth="1"/>
    <col min="1035" max="1280" width="9" style="31"/>
    <col min="1281" max="1281" width="1.125" style="31" customWidth="1"/>
    <col min="1282" max="1282" width="5.125" style="31" customWidth="1"/>
    <col min="1283" max="1283" width="28.375" style="31" customWidth="1"/>
    <col min="1284" max="1284" width="22.875" style="31" customWidth="1"/>
    <col min="1285" max="1285" width="12.875" style="31" customWidth="1"/>
    <col min="1286" max="1287" width="6.875" style="31" customWidth="1"/>
    <col min="1288" max="1288" width="11.375" style="31" customWidth="1"/>
    <col min="1289" max="1289" width="13.375" style="31" customWidth="1"/>
    <col min="1290" max="1290" width="18.625" style="31" customWidth="1"/>
    <col min="1291" max="1536" width="9" style="31"/>
    <col min="1537" max="1537" width="1.125" style="31" customWidth="1"/>
    <col min="1538" max="1538" width="5.125" style="31" customWidth="1"/>
    <col min="1539" max="1539" width="28.375" style="31" customWidth="1"/>
    <col min="1540" max="1540" width="22.875" style="31" customWidth="1"/>
    <col min="1541" max="1541" width="12.875" style="31" customWidth="1"/>
    <col min="1542" max="1543" width="6.875" style="31" customWidth="1"/>
    <col min="1544" max="1544" width="11.375" style="31" customWidth="1"/>
    <col min="1545" max="1545" width="13.375" style="31" customWidth="1"/>
    <col min="1546" max="1546" width="18.625" style="31" customWidth="1"/>
    <col min="1547" max="1792" width="9" style="31"/>
    <col min="1793" max="1793" width="1.125" style="31" customWidth="1"/>
    <col min="1794" max="1794" width="5.125" style="31" customWidth="1"/>
    <col min="1795" max="1795" width="28.375" style="31" customWidth="1"/>
    <col min="1796" max="1796" width="22.875" style="31" customWidth="1"/>
    <col min="1797" max="1797" width="12.875" style="31" customWidth="1"/>
    <col min="1798" max="1799" width="6.875" style="31" customWidth="1"/>
    <col min="1800" max="1800" width="11.375" style="31" customWidth="1"/>
    <col min="1801" max="1801" width="13.375" style="31" customWidth="1"/>
    <col min="1802" max="1802" width="18.625" style="31" customWidth="1"/>
    <col min="1803" max="2048" width="9" style="31"/>
    <col min="2049" max="2049" width="1.125" style="31" customWidth="1"/>
    <col min="2050" max="2050" width="5.125" style="31" customWidth="1"/>
    <col min="2051" max="2051" width="28.375" style="31" customWidth="1"/>
    <col min="2052" max="2052" width="22.875" style="31" customWidth="1"/>
    <col min="2053" max="2053" width="12.875" style="31" customWidth="1"/>
    <col min="2054" max="2055" width="6.875" style="31" customWidth="1"/>
    <col min="2056" max="2056" width="11.375" style="31" customWidth="1"/>
    <col min="2057" max="2057" width="13.375" style="31" customWidth="1"/>
    <col min="2058" max="2058" width="18.625" style="31" customWidth="1"/>
    <col min="2059" max="2304" width="9" style="31"/>
    <col min="2305" max="2305" width="1.125" style="31" customWidth="1"/>
    <col min="2306" max="2306" width="5.125" style="31" customWidth="1"/>
    <col min="2307" max="2307" width="28.375" style="31" customWidth="1"/>
    <col min="2308" max="2308" width="22.875" style="31" customWidth="1"/>
    <col min="2309" max="2309" width="12.875" style="31" customWidth="1"/>
    <col min="2310" max="2311" width="6.875" style="31" customWidth="1"/>
    <col min="2312" max="2312" width="11.375" style="31" customWidth="1"/>
    <col min="2313" max="2313" width="13.375" style="31" customWidth="1"/>
    <col min="2314" max="2314" width="18.625" style="31" customWidth="1"/>
    <col min="2315" max="2560" width="9" style="31"/>
    <col min="2561" max="2561" width="1.125" style="31" customWidth="1"/>
    <col min="2562" max="2562" width="5.125" style="31" customWidth="1"/>
    <col min="2563" max="2563" width="28.375" style="31" customWidth="1"/>
    <col min="2564" max="2564" width="22.875" style="31" customWidth="1"/>
    <col min="2565" max="2565" width="12.875" style="31" customWidth="1"/>
    <col min="2566" max="2567" width="6.875" style="31" customWidth="1"/>
    <col min="2568" max="2568" width="11.375" style="31" customWidth="1"/>
    <col min="2569" max="2569" width="13.375" style="31" customWidth="1"/>
    <col min="2570" max="2570" width="18.625" style="31" customWidth="1"/>
    <col min="2571" max="2816" width="9" style="31"/>
    <col min="2817" max="2817" width="1.125" style="31" customWidth="1"/>
    <col min="2818" max="2818" width="5.125" style="31" customWidth="1"/>
    <col min="2819" max="2819" width="28.375" style="31" customWidth="1"/>
    <col min="2820" max="2820" width="22.875" style="31" customWidth="1"/>
    <col min="2821" max="2821" width="12.875" style="31" customWidth="1"/>
    <col min="2822" max="2823" width="6.875" style="31" customWidth="1"/>
    <col min="2824" max="2824" width="11.375" style="31" customWidth="1"/>
    <col min="2825" max="2825" width="13.375" style="31" customWidth="1"/>
    <col min="2826" max="2826" width="18.625" style="31" customWidth="1"/>
    <col min="2827" max="3072" width="9" style="31"/>
    <col min="3073" max="3073" width="1.125" style="31" customWidth="1"/>
    <col min="3074" max="3074" width="5.125" style="31" customWidth="1"/>
    <col min="3075" max="3075" width="28.375" style="31" customWidth="1"/>
    <col min="3076" max="3076" width="22.875" style="31" customWidth="1"/>
    <col min="3077" max="3077" width="12.875" style="31" customWidth="1"/>
    <col min="3078" max="3079" width="6.875" style="31" customWidth="1"/>
    <col min="3080" max="3080" width="11.375" style="31" customWidth="1"/>
    <col min="3081" max="3081" width="13.375" style="31" customWidth="1"/>
    <col min="3082" max="3082" width="18.625" style="31" customWidth="1"/>
    <col min="3083" max="3328" width="9" style="31"/>
    <col min="3329" max="3329" width="1.125" style="31" customWidth="1"/>
    <col min="3330" max="3330" width="5.125" style="31" customWidth="1"/>
    <col min="3331" max="3331" width="28.375" style="31" customWidth="1"/>
    <col min="3332" max="3332" width="22.875" style="31" customWidth="1"/>
    <col min="3333" max="3333" width="12.875" style="31" customWidth="1"/>
    <col min="3334" max="3335" width="6.875" style="31" customWidth="1"/>
    <col min="3336" max="3336" width="11.375" style="31" customWidth="1"/>
    <col min="3337" max="3337" width="13.375" style="31" customWidth="1"/>
    <col min="3338" max="3338" width="18.625" style="31" customWidth="1"/>
    <col min="3339" max="3584" width="9" style="31"/>
    <col min="3585" max="3585" width="1.125" style="31" customWidth="1"/>
    <col min="3586" max="3586" width="5.125" style="31" customWidth="1"/>
    <col min="3587" max="3587" width="28.375" style="31" customWidth="1"/>
    <col min="3588" max="3588" width="22.875" style="31" customWidth="1"/>
    <col min="3589" max="3589" width="12.875" style="31" customWidth="1"/>
    <col min="3590" max="3591" width="6.875" style="31" customWidth="1"/>
    <col min="3592" max="3592" width="11.375" style="31" customWidth="1"/>
    <col min="3593" max="3593" width="13.375" style="31" customWidth="1"/>
    <col min="3594" max="3594" width="18.625" style="31" customWidth="1"/>
    <col min="3595" max="3840" width="9" style="31"/>
    <col min="3841" max="3841" width="1.125" style="31" customWidth="1"/>
    <col min="3842" max="3842" width="5.125" style="31" customWidth="1"/>
    <col min="3843" max="3843" width="28.375" style="31" customWidth="1"/>
    <col min="3844" max="3844" width="22.875" style="31" customWidth="1"/>
    <col min="3845" max="3845" width="12.875" style="31" customWidth="1"/>
    <col min="3846" max="3847" width="6.875" style="31" customWidth="1"/>
    <col min="3848" max="3848" width="11.375" style="31" customWidth="1"/>
    <col min="3849" max="3849" width="13.375" style="31" customWidth="1"/>
    <col min="3850" max="3850" width="18.625" style="31" customWidth="1"/>
    <col min="3851" max="4096" width="9" style="31"/>
    <col min="4097" max="4097" width="1.125" style="31" customWidth="1"/>
    <col min="4098" max="4098" width="5.125" style="31" customWidth="1"/>
    <col min="4099" max="4099" width="28.375" style="31" customWidth="1"/>
    <col min="4100" max="4100" width="22.875" style="31" customWidth="1"/>
    <col min="4101" max="4101" width="12.875" style="31" customWidth="1"/>
    <col min="4102" max="4103" width="6.875" style="31" customWidth="1"/>
    <col min="4104" max="4104" width="11.375" style="31" customWidth="1"/>
    <col min="4105" max="4105" width="13.375" style="31" customWidth="1"/>
    <col min="4106" max="4106" width="18.625" style="31" customWidth="1"/>
    <col min="4107" max="4352" width="9" style="31"/>
    <col min="4353" max="4353" width="1.125" style="31" customWidth="1"/>
    <col min="4354" max="4354" width="5.125" style="31" customWidth="1"/>
    <col min="4355" max="4355" width="28.375" style="31" customWidth="1"/>
    <col min="4356" max="4356" width="22.875" style="31" customWidth="1"/>
    <col min="4357" max="4357" width="12.875" style="31" customWidth="1"/>
    <col min="4358" max="4359" width="6.875" style="31" customWidth="1"/>
    <col min="4360" max="4360" width="11.375" style="31" customWidth="1"/>
    <col min="4361" max="4361" width="13.375" style="31" customWidth="1"/>
    <col min="4362" max="4362" width="18.625" style="31" customWidth="1"/>
    <col min="4363" max="4608" width="9" style="31"/>
    <col min="4609" max="4609" width="1.125" style="31" customWidth="1"/>
    <col min="4610" max="4610" width="5.125" style="31" customWidth="1"/>
    <col min="4611" max="4611" width="28.375" style="31" customWidth="1"/>
    <col min="4612" max="4612" width="22.875" style="31" customWidth="1"/>
    <col min="4613" max="4613" width="12.875" style="31" customWidth="1"/>
    <col min="4614" max="4615" width="6.875" style="31" customWidth="1"/>
    <col min="4616" max="4616" width="11.375" style="31" customWidth="1"/>
    <col min="4617" max="4617" width="13.375" style="31" customWidth="1"/>
    <col min="4618" max="4618" width="18.625" style="31" customWidth="1"/>
    <col min="4619" max="4864" width="9" style="31"/>
    <col min="4865" max="4865" width="1.125" style="31" customWidth="1"/>
    <col min="4866" max="4866" width="5.125" style="31" customWidth="1"/>
    <col min="4867" max="4867" width="28.375" style="31" customWidth="1"/>
    <col min="4868" max="4868" width="22.875" style="31" customWidth="1"/>
    <col min="4869" max="4869" width="12.875" style="31" customWidth="1"/>
    <col min="4870" max="4871" width="6.875" style="31" customWidth="1"/>
    <col min="4872" max="4872" width="11.375" style="31" customWidth="1"/>
    <col min="4873" max="4873" width="13.375" style="31" customWidth="1"/>
    <col min="4874" max="4874" width="18.625" style="31" customWidth="1"/>
    <col min="4875" max="5120" width="9" style="31"/>
    <col min="5121" max="5121" width="1.125" style="31" customWidth="1"/>
    <col min="5122" max="5122" width="5.125" style="31" customWidth="1"/>
    <col min="5123" max="5123" width="28.375" style="31" customWidth="1"/>
    <col min="5124" max="5124" width="22.875" style="31" customWidth="1"/>
    <col min="5125" max="5125" width="12.875" style="31" customWidth="1"/>
    <col min="5126" max="5127" width="6.875" style="31" customWidth="1"/>
    <col min="5128" max="5128" width="11.375" style="31" customWidth="1"/>
    <col min="5129" max="5129" width="13.375" style="31" customWidth="1"/>
    <col min="5130" max="5130" width="18.625" style="31" customWidth="1"/>
    <col min="5131" max="5376" width="9" style="31"/>
    <col min="5377" max="5377" width="1.125" style="31" customWidth="1"/>
    <col min="5378" max="5378" width="5.125" style="31" customWidth="1"/>
    <col min="5379" max="5379" width="28.375" style="31" customWidth="1"/>
    <col min="5380" max="5380" width="22.875" style="31" customWidth="1"/>
    <col min="5381" max="5381" width="12.875" style="31" customWidth="1"/>
    <col min="5382" max="5383" width="6.875" style="31" customWidth="1"/>
    <col min="5384" max="5384" width="11.375" style="31" customWidth="1"/>
    <col min="5385" max="5385" width="13.375" style="31" customWidth="1"/>
    <col min="5386" max="5386" width="18.625" style="31" customWidth="1"/>
    <col min="5387" max="5632" width="9" style="31"/>
    <col min="5633" max="5633" width="1.125" style="31" customWidth="1"/>
    <col min="5634" max="5634" width="5.125" style="31" customWidth="1"/>
    <col min="5635" max="5635" width="28.375" style="31" customWidth="1"/>
    <col min="5636" max="5636" width="22.875" style="31" customWidth="1"/>
    <col min="5637" max="5637" width="12.875" style="31" customWidth="1"/>
    <col min="5638" max="5639" width="6.875" style="31" customWidth="1"/>
    <col min="5640" max="5640" width="11.375" style="31" customWidth="1"/>
    <col min="5641" max="5641" width="13.375" style="31" customWidth="1"/>
    <col min="5642" max="5642" width="18.625" style="31" customWidth="1"/>
    <col min="5643" max="5888" width="9" style="31"/>
    <col min="5889" max="5889" width="1.125" style="31" customWidth="1"/>
    <col min="5890" max="5890" width="5.125" style="31" customWidth="1"/>
    <col min="5891" max="5891" width="28.375" style="31" customWidth="1"/>
    <col min="5892" max="5892" width="22.875" style="31" customWidth="1"/>
    <col min="5893" max="5893" width="12.875" style="31" customWidth="1"/>
    <col min="5894" max="5895" width="6.875" style="31" customWidth="1"/>
    <col min="5896" max="5896" width="11.375" style="31" customWidth="1"/>
    <col min="5897" max="5897" width="13.375" style="31" customWidth="1"/>
    <col min="5898" max="5898" width="18.625" style="31" customWidth="1"/>
    <col min="5899" max="6144" width="9" style="31"/>
    <col min="6145" max="6145" width="1.125" style="31" customWidth="1"/>
    <col min="6146" max="6146" width="5.125" style="31" customWidth="1"/>
    <col min="6147" max="6147" width="28.375" style="31" customWidth="1"/>
    <col min="6148" max="6148" width="22.875" style="31" customWidth="1"/>
    <col min="6149" max="6149" width="12.875" style="31" customWidth="1"/>
    <col min="6150" max="6151" width="6.875" style="31" customWidth="1"/>
    <col min="6152" max="6152" width="11.375" style="31" customWidth="1"/>
    <col min="6153" max="6153" width="13.375" style="31" customWidth="1"/>
    <col min="6154" max="6154" width="18.625" style="31" customWidth="1"/>
    <col min="6155" max="6400" width="9" style="31"/>
    <col min="6401" max="6401" width="1.125" style="31" customWidth="1"/>
    <col min="6402" max="6402" width="5.125" style="31" customWidth="1"/>
    <col min="6403" max="6403" width="28.375" style="31" customWidth="1"/>
    <col min="6404" max="6404" width="22.875" style="31" customWidth="1"/>
    <col min="6405" max="6405" width="12.875" style="31" customWidth="1"/>
    <col min="6406" max="6407" width="6.875" style="31" customWidth="1"/>
    <col min="6408" max="6408" width="11.375" style="31" customWidth="1"/>
    <col min="6409" max="6409" width="13.375" style="31" customWidth="1"/>
    <col min="6410" max="6410" width="18.625" style="31" customWidth="1"/>
    <col min="6411" max="6656" width="9" style="31"/>
    <col min="6657" max="6657" width="1.125" style="31" customWidth="1"/>
    <col min="6658" max="6658" width="5.125" style="31" customWidth="1"/>
    <col min="6659" max="6659" width="28.375" style="31" customWidth="1"/>
    <col min="6660" max="6660" width="22.875" style="31" customWidth="1"/>
    <col min="6661" max="6661" width="12.875" style="31" customWidth="1"/>
    <col min="6662" max="6663" width="6.875" style="31" customWidth="1"/>
    <col min="6664" max="6664" width="11.375" style="31" customWidth="1"/>
    <col min="6665" max="6665" width="13.375" style="31" customWidth="1"/>
    <col min="6666" max="6666" width="18.625" style="31" customWidth="1"/>
    <col min="6667" max="6912" width="9" style="31"/>
    <col min="6913" max="6913" width="1.125" style="31" customWidth="1"/>
    <col min="6914" max="6914" width="5.125" style="31" customWidth="1"/>
    <col min="6915" max="6915" width="28.375" style="31" customWidth="1"/>
    <col min="6916" max="6916" width="22.875" style="31" customWidth="1"/>
    <col min="6917" max="6917" width="12.875" style="31" customWidth="1"/>
    <col min="6918" max="6919" width="6.875" style="31" customWidth="1"/>
    <col min="6920" max="6920" width="11.375" style="31" customWidth="1"/>
    <col min="6921" max="6921" width="13.375" style="31" customWidth="1"/>
    <col min="6922" max="6922" width="18.625" style="31" customWidth="1"/>
    <col min="6923" max="7168" width="9" style="31"/>
    <col min="7169" max="7169" width="1.125" style="31" customWidth="1"/>
    <col min="7170" max="7170" width="5.125" style="31" customWidth="1"/>
    <col min="7171" max="7171" width="28.375" style="31" customWidth="1"/>
    <col min="7172" max="7172" width="22.875" style="31" customWidth="1"/>
    <col min="7173" max="7173" width="12.875" style="31" customWidth="1"/>
    <col min="7174" max="7175" width="6.875" style="31" customWidth="1"/>
    <col min="7176" max="7176" width="11.375" style="31" customWidth="1"/>
    <col min="7177" max="7177" width="13.375" style="31" customWidth="1"/>
    <col min="7178" max="7178" width="18.625" style="31" customWidth="1"/>
    <col min="7179" max="7424" width="9" style="31"/>
    <col min="7425" max="7425" width="1.125" style="31" customWidth="1"/>
    <col min="7426" max="7426" width="5.125" style="31" customWidth="1"/>
    <col min="7427" max="7427" width="28.375" style="31" customWidth="1"/>
    <col min="7428" max="7428" width="22.875" style="31" customWidth="1"/>
    <col min="7429" max="7429" width="12.875" style="31" customWidth="1"/>
    <col min="7430" max="7431" width="6.875" style="31" customWidth="1"/>
    <col min="7432" max="7432" width="11.375" style="31" customWidth="1"/>
    <col min="7433" max="7433" width="13.375" style="31" customWidth="1"/>
    <col min="7434" max="7434" width="18.625" style="31" customWidth="1"/>
    <col min="7435" max="7680" width="9" style="31"/>
    <col min="7681" max="7681" width="1.125" style="31" customWidth="1"/>
    <col min="7682" max="7682" width="5.125" style="31" customWidth="1"/>
    <col min="7683" max="7683" width="28.375" style="31" customWidth="1"/>
    <col min="7684" max="7684" width="22.875" style="31" customWidth="1"/>
    <col min="7685" max="7685" width="12.875" style="31" customWidth="1"/>
    <col min="7686" max="7687" width="6.875" style="31" customWidth="1"/>
    <col min="7688" max="7688" width="11.375" style="31" customWidth="1"/>
    <col min="7689" max="7689" width="13.375" style="31" customWidth="1"/>
    <col min="7690" max="7690" width="18.625" style="31" customWidth="1"/>
    <col min="7691" max="7936" width="9" style="31"/>
    <col min="7937" max="7937" width="1.125" style="31" customWidth="1"/>
    <col min="7938" max="7938" width="5.125" style="31" customWidth="1"/>
    <col min="7939" max="7939" width="28.375" style="31" customWidth="1"/>
    <col min="7940" max="7940" width="22.875" style="31" customWidth="1"/>
    <col min="7941" max="7941" width="12.875" style="31" customWidth="1"/>
    <col min="7942" max="7943" width="6.875" style="31" customWidth="1"/>
    <col min="7944" max="7944" width="11.375" style="31" customWidth="1"/>
    <col min="7945" max="7945" width="13.375" style="31" customWidth="1"/>
    <col min="7946" max="7946" width="18.625" style="31" customWidth="1"/>
    <col min="7947" max="8192" width="9" style="31"/>
    <col min="8193" max="8193" width="1.125" style="31" customWidth="1"/>
    <col min="8194" max="8194" width="5.125" style="31" customWidth="1"/>
    <col min="8195" max="8195" width="28.375" style="31" customWidth="1"/>
    <col min="8196" max="8196" width="22.875" style="31" customWidth="1"/>
    <col min="8197" max="8197" width="12.875" style="31" customWidth="1"/>
    <col min="8198" max="8199" width="6.875" style="31" customWidth="1"/>
    <col min="8200" max="8200" width="11.375" style="31" customWidth="1"/>
    <col min="8201" max="8201" width="13.375" style="31" customWidth="1"/>
    <col min="8202" max="8202" width="18.625" style="31" customWidth="1"/>
    <col min="8203" max="8448" width="9" style="31"/>
    <col min="8449" max="8449" width="1.125" style="31" customWidth="1"/>
    <col min="8450" max="8450" width="5.125" style="31" customWidth="1"/>
    <col min="8451" max="8451" width="28.375" style="31" customWidth="1"/>
    <col min="8452" max="8452" width="22.875" style="31" customWidth="1"/>
    <col min="8453" max="8453" width="12.875" style="31" customWidth="1"/>
    <col min="8454" max="8455" width="6.875" style="31" customWidth="1"/>
    <col min="8456" max="8456" width="11.375" style="31" customWidth="1"/>
    <col min="8457" max="8457" width="13.375" style="31" customWidth="1"/>
    <col min="8458" max="8458" width="18.625" style="31" customWidth="1"/>
    <col min="8459" max="8704" width="9" style="31"/>
    <col min="8705" max="8705" width="1.125" style="31" customWidth="1"/>
    <col min="8706" max="8706" width="5.125" style="31" customWidth="1"/>
    <col min="8707" max="8707" width="28.375" style="31" customWidth="1"/>
    <col min="8708" max="8708" width="22.875" style="31" customWidth="1"/>
    <col min="8709" max="8709" width="12.875" style="31" customWidth="1"/>
    <col min="8710" max="8711" width="6.875" style="31" customWidth="1"/>
    <col min="8712" max="8712" width="11.375" style="31" customWidth="1"/>
    <col min="8713" max="8713" width="13.375" style="31" customWidth="1"/>
    <col min="8714" max="8714" width="18.625" style="31" customWidth="1"/>
    <col min="8715" max="8960" width="9" style="31"/>
    <col min="8961" max="8961" width="1.125" style="31" customWidth="1"/>
    <col min="8962" max="8962" width="5.125" style="31" customWidth="1"/>
    <col min="8963" max="8963" width="28.375" style="31" customWidth="1"/>
    <col min="8964" max="8964" width="22.875" style="31" customWidth="1"/>
    <col min="8965" max="8965" width="12.875" style="31" customWidth="1"/>
    <col min="8966" max="8967" width="6.875" style="31" customWidth="1"/>
    <col min="8968" max="8968" width="11.375" style="31" customWidth="1"/>
    <col min="8969" max="8969" width="13.375" style="31" customWidth="1"/>
    <col min="8970" max="8970" width="18.625" style="31" customWidth="1"/>
    <col min="8971" max="9216" width="9" style="31"/>
    <col min="9217" max="9217" width="1.125" style="31" customWidth="1"/>
    <col min="9218" max="9218" width="5.125" style="31" customWidth="1"/>
    <col min="9219" max="9219" width="28.375" style="31" customWidth="1"/>
    <col min="9220" max="9220" width="22.875" style="31" customWidth="1"/>
    <col min="9221" max="9221" width="12.875" style="31" customWidth="1"/>
    <col min="9222" max="9223" width="6.875" style="31" customWidth="1"/>
    <col min="9224" max="9224" width="11.375" style="31" customWidth="1"/>
    <col min="9225" max="9225" width="13.375" style="31" customWidth="1"/>
    <col min="9226" max="9226" width="18.625" style="31" customWidth="1"/>
    <col min="9227" max="9472" width="9" style="31"/>
    <col min="9473" max="9473" width="1.125" style="31" customWidth="1"/>
    <col min="9474" max="9474" width="5.125" style="31" customWidth="1"/>
    <col min="9475" max="9475" width="28.375" style="31" customWidth="1"/>
    <col min="9476" max="9476" width="22.875" style="31" customWidth="1"/>
    <col min="9477" max="9477" width="12.875" style="31" customWidth="1"/>
    <col min="9478" max="9479" width="6.875" style="31" customWidth="1"/>
    <col min="9480" max="9480" width="11.375" style="31" customWidth="1"/>
    <col min="9481" max="9481" width="13.375" style="31" customWidth="1"/>
    <col min="9482" max="9482" width="18.625" style="31" customWidth="1"/>
    <col min="9483" max="9728" width="9" style="31"/>
    <col min="9729" max="9729" width="1.125" style="31" customWidth="1"/>
    <col min="9730" max="9730" width="5.125" style="31" customWidth="1"/>
    <col min="9731" max="9731" width="28.375" style="31" customWidth="1"/>
    <col min="9732" max="9732" width="22.875" style="31" customWidth="1"/>
    <col min="9733" max="9733" width="12.875" style="31" customWidth="1"/>
    <col min="9734" max="9735" width="6.875" style="31" customWidth="1"/>
    <col min="9736" max="9736" width="11.375" style="31" customWidth="1"/>
    <col min="9737" max="9737" width="13.375" style="31" customWidth="1"/>
    <col min="9738" max="9738" width="18.625" style="31" customWidth="1"/>
    <col min="9739" max="9984" width="9" style="31"/>
    <col min="9985" max="9985" width="1.125" style="31" customWidth="1"/>
    <col min="9986" max="9986" width="5.125" style="31" customWidth="1"/>
    <col min="9987" max="9987" width="28.375" style="31" customWidth="1"/>
    <col min="9988" max="9988" width="22.875" style="31" customWidth="1"/>
    <col min="9989" max="9989" width="12.875" style="31" customWidth="1"/>
    <col min="9990" max="9991" width="6.875" style="31" customWidth="1"/>
    <col min="9992" max="9992" width="11.375" style="31" customWidth="1"/>
    <col min="9993" max="9993" width="13.375" style="31" customWidth="1"/>
    <col min="9994" max="9994" width="18.625" style="31" customWidth="1"/>
    <col min="9995" max="10240" width="9" style="31"/>
    <col min="10241" max="10241" width="1.125" style="31" customWidth="1"/>
    <col min="10242" max="10242" width="5.125" style="31" customWidth="1"/>
    <col min="10243" max="10243" width="28.375" style="31" customWidth="1"/>
    <col min="10244" max="10244" width="22.875" style="31" customWidth="1"/>
    <col min="10245" max="10245" width="12.875" style="31" customWidth="1"/>
    <col min="10246" max="10247" width="6.875" style="31" customWidth="1"/>
    <col min="10248" max="10248" width="11.375" style="31" customWidth="1"/>
    <col min="10249" max="10249" width="13.375" style="31" customWidth="1"/>
    <col min="10250" max="10250" width="18.625" style="31" customWidth="1"/>
    <col min="10251" max="10496" width="9" style="31"/>
    <col min="10497" max="10497" width="1.125" style="31" customWidth="1"/>
    <col min="10498" max="10498" width="5.125" style="31" customWidth="1"/>
    <col min="10499" max="10499" width="28.375" style="31" customWidth="1"/>
    <col min="10500" max="10500" width="22.875" style="31" customWidth="1"/>
    <col min="10501" max="10501" width="12.875" style="31" customWidth="1"/>
    <col min="10502" max="10503" width="6.875" style="31" customWidth="1"/>
    <col min="10504" max="10504" width="11.375" style="31" customWidth="1"/>
    <col min="10505" max="10505" width="13.375" style="31" customWidth="1"/>
    <col min="10506" max="10506" width="18.625" style="31" customWidth="1"/>
    <col min="10507" max="10752" width="9" style="31"/>
    <col min="10753" max="10753" width="1.125" style="31" customWidth="1"/>
    <col min="10754" max="10754" width="5.125" style="31" customWidth="1"/>
    <col min="10755" max="10755" width="28.375" style="31" customWidth="1"/>
    <col min="10756" max="10756" width="22.875" style="31" customWidth="1"/>
    <col min="10757" max="10757" width="12.875" style="31" customWidth="1"/>
    <col min="10758" max="10759" width="6.875" style="31" customWidth="1"/>
    <col min="10760" max="10760" width="11.375" style="31" customWidth="1"/>
    <col min="10761" max="10761" width="13.375" style="31" customWidth="1"/>
    <col min="10762" max="10762" width="18.625" style="31" customWidth="1"/>
    <col min="10763" max="11008" width="9" style="31"/>
    <col min="11009" max="11009" width="1.125" style="31" customWidth="1"/>
    <col min="11010" max="11010" width="5.125" style="31" customWidth="1"/>
    <col min="11011" max="11011" width="28.375" style="31" customWidth="1"/>
    <col min="11012" max="11012" width="22.875" style="31" customWidth="1"/>
    <col min="11013" max="11013" width="12.875" style="31" customWidth="1"/>
    <col min="11014" max="11015" width="6.875" style="31" customWidth="1"/>
    <col min="11016" max="11016" width="11.375" style="31" customWidth="1"/>
    <col min="11017" max="11017" width="13.375" style="31" customWidth="1"/>
    <col min="11018" max="11018" width="18.625" style="31" customWidth="1"/>
    <col min="11019" max="11264" width="9" style="31"/>
    <col min="11265" max="11265" width="1.125" style="31" customWidth="1"/>
    <col min="11266" max="11266" width="5.125" style="31" customWidth="1"/>
    <col min="11267" max="11267" width="28.375" style="31" customWidth="1"/>
    <col min="11268" max="11268" width="22.875" style="31" customWidth="1"/>
    <col min="11269" max="11269" width="12.875" style="31" customWidth="1"/>
    <col min="11270" max="11271" width="6.875" style="31" customWidth="1"/>
    <col min="11272" max="11272" width="11.375" style="31" customWidth="1"/>
    <col min="11273" max="11273" width="13.375" style="31" customWidth="1"/>
    <col min="11274" max="11274" width="18.625" style="31" customWidth="1"/>
    <col min="11275" max="11520" width="9" style="31"/>
    <col min="11521" max="11521" width="1.125" style="31" customWidth="1"/>
    <col min="11522" max="11522" width="5.125" style="31" customWidth="1"/>
    <col min="11523" max="11523" width="28.375" style="31" customWidth="1"/>
    <col min="11524" max="11524" width="22.875" style="31" customWidth="1"/>
    <col min="11525" max="11525" width="12.875" style="31" customWidth="1"/>
    <col min="11526" max="11527" width="6.875" style="31" customWidth="1"/>
    <col min="11528" max="11528" width="11.375" style="31" customWidth="1"/>
    <col min="11529" max="11529" width="13.375" style="31" customWidth="1"/>
    <col min="11530" max="11530" width="18.625" style="31" customWidth="1"/>
    <col min="11531" max="11776" width="9" style="31"/>
    <col min="11777" max="11777" width="1.125" style="31" customWidth="1"/>
    <col min="11778" max="11778" width="5.125" style="31" customWidth="1"/>
    <col min="11779" max="11779" width="28.375" style="31" customWidth="1"/>
    <col min="11780" max="11780" width="22.875" style="31" customWidth="1"/>
    <col min="11781" max="11781" width="12.875" style="31" customWidth="1"/>
    <col min="11782" max="11783" width="6.875" style="31" customWidth="1"/>
    <col min="11784" max="11784" width="11.375" style="31" customWidth="1"/>
    <col min="11785" max="11785" width="13.375" style="31" customWidth="1"/>
    <col min="11786" max="11786" width="18.625" style="31" customWidth="1"/>
    <col min="11787" max="12032" width="9" style="31"/>
    <col min="12033" max="12033" width="1.125" style="31" customWidth="1"/>
    <col min="12034" max="12034" width="5.125" style="31" customWidth="1"/>
    <col min="12035" max="12035" width="28.375" style="31" customWidth="1"/>
    <col min="12036" max="12036" width="22.875" style="31" customWidth="1"/>
    <col min="12037" max="12037" width="12.875" style="31" customWidth="1"/>
    <col min="12038" max="12039" width="6.875" style="31" customWidth="1"/>
    <col min="12040" max="12040" width="11.375" style="31" customWidth="1"/>
    <col min="12041" max="12041" width="13.375" style="31" customWidth="1"/>
    <col min="12042" max="12042" width="18.625" style="31" customWidth="1"/>
    <col min="12043" max="12288" width="9" style="31"/>
    <col min="12289" max="12289" width="1.125" style="31" customWidth="1"/>
    <col min="12290" max="12290" width="5.125" style="31" customWidth="1"/>
    <col min="12291" max="12291" width="28.375" style="31" customWidth="1"/>
    <col min="12292" max="12292" width="22.875" style="31" customWidth="1"/>
    <col min="12293" max="12293" width="12.875" style="31" customWidth="1"/>
    <col min="12294" max="12295" width="6.875" style="31" customWidth="1"/>
    <col min="12296" max="12296" width="11.375" style="31" customWidth="1"/>
    <col min="12297" max="12297" width="13.375" style="31" customWidth="1"/>
    <col min="12298" max="12298" width="18.625" style="31" customWidth="1"/>
    <col min="12299" max="12544" width="9" style="31"/>
    <col min="12545" max="12545" width="1.125" style="31" customWidth="1"/>
    <col min="12546" max="12546" width="5.125" style="31" customWidth="1"/>
    <col min="12547" max="12547" width="28.375" style="31" customWidth="1"/>
    <col min="12548" max="12548" width="22.875" style="31" customWidth="1"/>
    <col min="12549" max="12549" width="12.875" style="31" customWidth="1"/>
    <col min="12550" max="12551" width="6.875" style="31" customWidth="1"/>
    <col min="12552" max="12552" width="11.375" style="31" customWidth="1"/>
    <col min="12553" max="12553" width="13.375" style="31" customWidth="1"/>
    <col min="12554" max="12554" width="18.625" style="31" customWidth="1"/>
    <col min="12555" max="12800" width="9" style="31"/>
    <col min="12801" max="12801" width="1.125" style="31" customWidth="1"/>
    <col min="12802" max="12802" width="5.125" style="31" customWidth="1"/>
    <col min="12803" max="12803" width="28.375" style="31" customWidth="1"/>
    <col min="12804" max="12804" width="22.875" style="31" customWidth="1"/>
    <col min="12805" max="12805" width="12.875" style="31" customWidth="1"/>
    <col min="12806" max="12807" width="6.875" style="31" customWidth="1"/>
    <col min="12808" max="12808" width="11.375" style="31" customWidth="1"/>
    <col min="12809" max="12809" width="13.375" style="31" customWidth="1"/>
    <col min="12810" max="12810" width="18.625" style="31" customWidth="1"/>
    <col min="12811" max="13056" width="9" style="31"/>
    <col min="13057" max="13057" width="1.125" style="31" customWidth="1"/>
    <col min="13058" max="13058" width="5.125" style="31" customWidth="1"/>
    <col min="13059" max="13059" width="28.375" style="31" customWidth="1"/>
    <col min="13060" max="13060" width="22.875" style="31" customWidth="1"/>
    <col min="13061" max="13061" width="12.875" style="31" customWidth="1"/>
    <col min="13062" max="13063" width="6.875" style="31" customWidth="1"/>
    <col min="13064" max="13064" width="11.375" style="31" customWidth="1"/>
    <col min="13065" max="13065" width="13.375" style="31" customWidth="1"/>
    <col min="13066" max="13066" width="18.625" style="31" customWidth="1"/>
    <col min="13067" max="13312" width="9" style="31"/>
    <col min="13313" max="13313" width="1.125" style="31" customWidth="1"/>
    <col min="13314" max="13314" width="5.125" style="31" customWidth="1"/>
    <col min="13315" max="13315" width="28.375" style="31" customWidth="1"/>
    <col min="13316" max="13316" width="22.875" style="31" customWidth="1"/>
    <col min="13317" max="13317" width="12.875" style="31" customWidth="1"/>
    <col min="13318" max="13319" width="6.875" style="31" customWidth="1"/>
    <col min="13320" max="13320" width="11.375" style="31" customWidth="1"/>
    <col min="13321" max="13321" width="13.375" style="31" customWidth="1"/>
    <col min="13322" max="13322" width="18.625" style="31" customWidth="1"/>
    <col min="13323" max="13568" width="9" style="31"/>
    <col min="13569" max="13569" width="1.125" style="31" customWidth="1"/>
    <col min="13570" max="13570" width="5.125" style="31" customWidth="1"/>
    <col min="13571" max="13571" width="28.375" style="31" customWidth="1"/>
    <col min="13572" max="13572" width="22.875" style="31" customWidth="1"/>
    <col min="13573" max="13573" width="12.875" style="31" customWidth="1"/>
    <col min="13574" max="13575" width="6.875" style="31" customWidth="1"/>
    <col min="13576" max="13576" width="11.375" style="31" customWidth="1"/>
    <col min="13577" max="13577" width="13.375" style="31" customWidth="1"/>
    <col min="13578" max="13578" width="18.625" style="31" customWidth="1"/>
    <col min="13579" max="13824" width="9" style="31"/>
    <col min="13825" max="13825" width="1.125" style="31" customWidth="1"/>
    <col min="13826" max="13826" width="5.125" style="31" customWidth="1"/>
    <col min="13827" max="13827" width="28.375" style="31" customWidth="1"/>
    <col min="13828" max="13828" width="22.875" style="31" customWidth="1"/>
    <col min="13829" max="13829" width="12.875" style="31" customWidth="1"/>
    <col min="13830" max="13831" width="6.875" style="31" customWidth="1"/>
    <col min="13832" max="13832" width="11.375" style="31" customWidth="1"/>
    <col min="13833" max="13833" width="13.375" style="31" customWidth="1"/>
    <col min="13834" max="13834" width="18.625" style="31" customWidth="1"/>
    <col min="13835" max="14080" width="9" style="31"/>
    <col min="14081" max="14081" width="1.125" style="31" customWidth="1"/>
    <col min="14082" max="14082" width="5.125" style="31" customWidth="1"/>
    <col min="14083" max="14083" width="28.375" style="31" customWidth="1"/>
    <col min="14084" max="14084" width="22.875" style="31" customWidth="1"/>
    <col min="14085" max="14085" width="12.875" style="31" customWidth="1"/>
    <col min="14086" max="14087" width="6.875" style="31" customWidth="1"/>
    <col min="14088" max="14088" width="11.375" style="31" customWidth="1"/>
    <col min="14089" max="14089" width="13.375" style="31" customWidth="1"/>
    <col min="14090" max="14090" width="18.625" style="31" customWidth="1"/>
    <col min="14091" max="14336" width="9" style="31"/>
    <col min="14337" max="14337" width="1.125" style="31" customWidth="1"/>
    <col min="14338" max="14338" width="5.125" style="31" customWidth="1"/>
    <col min="14339" max="14339" width="28.375" style="31" customWidth="1"/>
    <col min="14340" max="14340" width="22.875" style="31" customWidth="1"/>
    <col min="14341" max="14341" width="12.875" style="31" customWidth="1"/>
    <col min="14342" max="14343" width="6.875" style="31" customWidth="1"/>
    <col min="14344" max="14344" width="11.375" style="31" customWidth="1"/>
    <col min="14345" max="14345" width="13.375" style="31" customWidth="1"/>
    <col min="14346" max="14346" width="18.625" style="31" customWidth="1"/>
    <col min="14347" max="14592" width="9" style="31"/>
    <col min="14593" max="14593" width="1.125" style="31" customWidth="1"/>
    <col min="14594" max="14594" width="5.125" style="31" customWidth="1"/>
    <col min="14595" max="14595" width="28.375" style="31" customWidth="1"/>
    <col min="14596" max="14596" width="22.875" style="31" customWidth="1"/>
    <col min="14597" max="14597" width="12.875" style="31" customWidth="1"/>
    <col min="14598" max="14599" width="6.875" style="31" customWidth="1"/>
    <col min="14600" max="14600" width="11.375" style="31" customWidth="1"/>
    <col min="14601" max="14601" width="13.375" style="31" customWidth="1"/>
    <col min="14602" max="14602" width="18.625" style="31" customWidth="1"/>
    <col min="14603" max="14848" width="9" style="31"/>
    <col min="14849" max="14849" width="1.125" style="31" customWidth="1"/>
    <col min="14850" max="14850" width="5.125" style="31" customWidth="1"/>
    <col min="14851" max="14851" width="28.375" style="31" customWidth="1"/>
    <col min="14852" max="14852" width="22.875" style="31" customWidth="1"/>
    <col min="14853" max="14853" width="12.875" style="31" customWidth="1"/>
    <col min="14854" max="14855" width="6.875" style="31" customWidth="1"/>
    <col min="14856" max="14856" width="11.375" style="31" customWidth="1"/>
    <col min="14857" max="14857" width="13.375" style="31" customWidth="1"/>
    <col min="14858" max="14858" width="18.625" style="31" customWidth="1"/>
    <col min="14859" max="15104" width="9" style="31"/>
    <col min="15105" max="15105" width="1.125" style="31" customWidth="1"/>
    <col min="15106" max="15106" width="5.125" style="31" customWidth="1"/>
    <col min="15107" max="15107" width="28.375" style="31" customWidth="1"/>
    <col min="15108" max="15108" width="22.875" style="31" customWidth="1"/>
    <col min="15109" max="15109" width="12.875" style="31" customWidth="1"/>
    <col min="15110" max="15111" width="6.875" style="31" customWidth="1"/>
    <col min="15112" max="15112" width="11.375" style="31" customWidth="1"/>
    <col min="15113" max="15113" width="13.375" style="31" customWidth="1"/>
    <col min="15114" max="15114" width="18.625" style="31" customWidth="1"/>
    <col min="15115" max="15360" width="9" style="31"/>
    <col min="15361" max="15361" width="1.125" style="31" customWidth="1"/>
    <col min="15362" max="15362" width="5.125" style="31" customWidth="1"/>
    <col min="15363" max="15363" width="28.375" style="31" customWidth="1"/>
    <col min="15364" max="15364" width="22.875" style="31" customWidth="1"/>
    <col min="15365" max="15365" width="12.875" style="31" customWidth="1"/>
    <col min="15366" max="15367" width="6.875" style="31" customWidth="1"/>
    <col min="15368" max="15368" width="11.375" style="31" customWidth="1"/>
    <col min="15369" max="15369" width="13.375" style="31" customWidth="1"/>
    <col min="15370" max="15370" width="18.625" style="31" customWidth="1"/>
    <col min="15371" max="15616" width="9" style="31"/>
    <col min="15617" max="15617" width="1.125" style="31" customWidth="1"/>
    <col min="15618" max="15618" width="5.125" style="31" customWidth="1"/>
    <col min="15619" max="15619" width="28.375" style="31" customWidth="1"/>
    <col min="15620" max="15620" width="22.875" style="31" customWidth="1"/>
    <col min="15621" max="15621" width="12.875" style="31" customWidth="1"/>
    <col min="15622" max="15623" width="6.875" style="31" customWidth="1"/>
    <col min="15624" max="15624" width="11.375" style="31" customWidth="1"/>
    <col min="15625" max="15625" width="13.375" style="31" customWidth="1"/>
    <col min="15626" max="15626" width="18.625" style="31" customWidth="1"/>
    <col min="15627" max="15872" width="9" style="31"/>
    <col min="15873" max="15873" width="1.125" style="31" customWidth="1"/>
    <col min="15874" max="15874" width="5.125" style="31" customWidth="1"/>
    <col min="15875" max="15875" width="28.375" style="31" customWidth="1"/>
    <col min="15876" max="15876" width="22.875" style="31" customWidth="1"/>
    <col min="15877" max="15877" width="12.875" style="31" customWidth="1"/>
    <col min="15878" max="15879" width="6.875" style="31" customWidth="1"/>
    <col min="15880" max="15880" width="11.375" style="31" customWidth="1"/>
    <col min="15881" max="15881" width="13.375" style="31" customWidth="1"/>
    <col min="15882" max="15882" width="18.625" style="31" customWidth="1"/>
    <col min="15883" max="16128" width="9" style="31"/>
    <col min="16129" max="16129" width="1.125" style="31" customWidth="1"/>
    <col min="16130" max="16130" width="5.125" style="31" customWidth="1"/>
    <col min="16131" max="16131" width="28.375" style="31" customWidth="1"/>
    <col min="16132" max="16132" width="22.875" style="31" customWidth="1"/>
    <col min="16133" max="16133" width="12.875" style="31" customWidth="1"/>
    <col min="16134" max="16135" width="6.875" style="31" customWidth="1"/>
    <col min="16136" max="16136" width="11.375" style="31" customWidth="1"/>
    <col min="16137" max="16137" width="13.375" style="31" customWidth="1"/>
    <col min="16138" max="16138" width="18.625" style="31" customWidth="1"/>
    <col min="16139" max="16384" width="9" style="31"/>
  </cols>
  <sheetData>
    <row r="1" spans="1:16" ht="9.9499999999999993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</row>
    <row r="2" spans="1:16" ht="30" customHeight="1">
      <c r="A2" s="29"/>
      <c r="B2" s="60" t="s">
        <v>92</v>
      </c>
      <c r="C2" s="60"/>
      <c r="D2" s="60"/>
      <c r="E2" s="60"/>
      <c r="F2" s="60"/>
      <c r="G2" s="60"/>
      <c r="H2" s="60"/>
      <c r="I2" s="60"/>
      <c r="J2" s="60"/>
      <c r="K2" s="29"/>
      <c r="L2" s="29"/>
      <c r="M2" s="29"/>
      <c r="N2" s="29"/>
      <c r="O2" s="29"/>
      <c r="P2" s="30"/>
    </row>
    <row r="3" spans="1:16" ht="9.75" customHeight="1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30"/>
    </row>
    <row r="4" spans="1:16" ht="23.25" customHeight="1">
      <c r="A4" s="29"/>
      <c r="B4" s="32" t="s">
        <v>81</v>
      </c>
      <c r="C4" s="32" t="s">
        <v>19</v>
      </c>
      <c r="D4" s="32" t="s">
        <v>95</v>
      </c>
      <c r="E4" s="32" t="s">
        <v>82</v>
      </c>
      <c r="F4" s="32" t="s">
        <v>83</v>
      </c>
      <c r="G4" s="32" t="s">
        <v>84</v>
      </c>
      <c r="H4" s="32" t="s">
        <v>85</v>
      </c>
      <c r="I4" s="32" t="s">
        <v>86</v>
      </c>
      <c r="J4" s="32" t="s">
        <v>20</v>
      </c>
      <c r="K4" s="29"/>
      <c r="L4" s="29"/>
      <c r="M4" s="29"/>
      <c r="N4" s="29"/>
      <c r="O4" s="29"/>
      <c r="P4" s="30"/>
    </row>
    <row r="5" spans="1:16" ht="18" customHeight="1">
      <c r="A5" s="29"/>
      <c r="B5" s="33">
        <v>1</v>
      </c>
      <c r="C5" s="34" t="s">
        <v>94</v>
      </c>
      <c r="D5" s="35"/>
      <c r="E5" s="33" t="s">
        <v>88</v>
      </c>
      <c r="F5" s="33" t="s">
        <v>87</v>
      </c>
      <c r="G5" s="36">
        <v>1</v>
      </c>
      <c r="H5" s="37">
        <v>100000</v>
      </c>
      <c r="I5" s="37">
        <f t="shared" ref="I5:I8" si="0">G5*H5</f>
        <v>100000</v>
      </c>
      <c r="J5" s="37"/>
      <c r="K5" s="38"/>
      <c r="L5" s="29"/>
      <c r="M5" s="29"/>
      <c r="N5" s="29"/>
      <c r="O5" s="29"/>
      <c r="P5" s="30"/>
    </row>
    <row r="6" spans="1:16" ht="18" customHeight="1">
      <c r="A6" s="29"/>
      <c r="B6" s="33">
        <v>2</v>
      </c>
      <c r="C6" s="34" t="s">
        <v>98</v>
      </c>
      <c r="D6" s="35" t="s">
        <v>99</v>
      </c>
      <c r="E6" s="33"/>
      <c r="F6" s="33" t="s">
        <v>97</v>
      </c>
      <c r="G6" s="36">
        <v>2</v>
      </c>
      <c r="H6" s="37">
        <v>80000</v>
      </c>
      <c r="I6" s="37">
        <f t="shared" si="0"/>
        <v>160000</v>
      </c>
      <c r="J6" s="37"/>
      <c r="K6" s="38"/>
      <c r="L6" s="29"/>
      <c r="M6" s="29"/>
      <c r="N6" s="29"/>
      <c r="O6" s="29"/>
      <c r="P6" s="30"/>
    </row>
    <row r="7" spans="1:16" ht="18" customHeight="1">
      <c r="A7" s="29"/>
      <c r="B7" s="33">
        <v>3</v>
      </c>
      <c r="C7" s="34" t="s">
        <v>105</v>
      </c>
      <c r="D7" s="35" t="s">
        <v>89</v>
      </c>
      <c r="E7" s="33" t="s">
        <v>93</v>
      </c>
      <c r="F7" s="33" t="s">
        <v>109</v>
      </c>
      <c r="G7" s="36">
        <v>3</v>
      </c>
      <c r="H7" s="37">
        <v>150000</v>
      </c>
      <c r="I7" s="37">
        <f t="shared" si="0"/>
        <v>450000</v>
      </c>
      <c r="J7" s="37"/>
      <c r="K7" s="38"/>
      <c r="L7" s="29"/>
      <c r="M7" s="29"/>
      <c r="N7" s="29"/>
      <c r="O7" s="29"/>
      <c r="P7" s="30"/>
    </row>
    <row r="8" spans="1:16" ht="18" customHeight="1">
      <c r="A8" s="29"/>
      <c r="B8" s="33">
        <v>4</v>
      </c>
      <c r="C8" s="30" t="s">
        <v>107</v>
      </c>
      <c r="D8" s="35" t="s">
        <v>90</v>
      </c>
      <c r="E8" s="33"/>
      <c r="F8" s="33" t="s">
        <v>87</v>
      </c>
      <c r="G8" s="36">
        <v>8</v>
      </c>
      <c r="H8" s="37">
        <v>45000</v>
      </c>
      <c r="I8" s="37">
        <f t="shared" si="0"/>
        <v>360000</v>
      </c>
      <c r="J8" s="37"/>
      <c r="K8" s="38"/>
      <c r="L8" s="29"/>
      <c r="M8" s="29"/>
      <c r="N8" s="29"/>
      <c r="O8" s="29"/>
      <c r="P8" s="30"/>
    </row>
    <row r="9" spans="1:16" ht="18" customHeight="1">
      <c r="A9" s="29"/>
      <c r="B9" s="33">
        <v>5</v>
      </c>
      <c r="C9" s="47" t="s">
        <v>106</v>
      </c>
      <c r="D9" s="35" t="s">
        <v>89</v>
      </c>
      <c r="E9" s="33" t="s">
        <v>93</v>
      </c>
      <c r="F9" s="33" t="s">
        <v>109</v>
      </c>
      <c r="G9" s="36">
        <v>2</v>
      </c>
      <c r="H9" s="37">
        <v>150000</v>
      </c>
      <c r="I9" s="37">
        <f>G9*H9</f>
        <v>300000</v>
      </c>
      <c r="J9" s="37"/>
      <c r="K9" s="38"/>
      <c r="L9" s="29"/>
      <c r="M9" s="29"/>
      <c r="N9" s="29"/>
      <c r="O9" s="29"/>
      <c r="P9" s="30"/>
    </row>
    <row r="10" spans="1:16" ht="18" customHeight="1">
      <c r="A10" s="29"/>
      <c r="B10" s="33">
        <v>6</v>
      </c>
      <c r="C10" s="47" t="s">
        <v>108</v>
      </c>
      <c r="D10" s="35" t="s">
        <v>90</v>
      </c>
      <c r="E10" s="33"/>
      <c r="F10" s="33" t="s">
        <v>87</v>
      </c>
      <c r="G10" s="36">
        <v>5</v>
      </c>
      <c r="H10" s="37">
        <v>5000</v>
      </c>
      <c r="I10" s="37">
        <f>G10*H10</f>
        <v>25000</v>
      </c>
      <c r="J10" s="37"/>
      <c r="K10" s="38"/>
      <c r="L10" s="29"/>
      <c r="M10" s="29"/>
      <c r="N10" s="29"/>
      <c r="O10" s="29"/>
      <c r="P10" s="30"/>
    </row>
    <row r="11" spans="1:16" ht="18" customHeight="1">
      <c r="A11" s="29"/>
      <c r="B11" s="33">
        <v>7</v>
      </c>
      <c r="C11" s="34" t="s">
        <v>96</v>
      </c>
      <c r="D11" s="35"/>
      <c r="E11" s="33"/>
      <c r="F11" s="33" t="s">
        <v>97</v>
      </c>
      <c r="G11" s="36">
        <v>8</v>
      </c>
      <c r="H11" s="37">
        <v>15000</v>
      </c>
      <c r="I11" s="37">
        <f t="shared" ref="I11" si="1">G11*H11</f>
        <v>120000</v>
      </c>
      <c r="J11" s="37"/>
      <c r="K11" s="38"/>
      <c r="L11" s="29"/>
      <c r="M11" s="29"/>
      <c r="N11" s="29"/>
      <c r="O11" s="29"/>
      <c r="P11" s="30"/>
    </row>
    <row r="12" spans="1:16" ht="18" customHeight="1">
      <c r="A12" s="29"/>
      <c r="B12" s="33">
        <v>8</v>
      </c>
      <c r="C12" s="48" t="s">
        <v>16</v>
      </c>
      <c r="D12" s="35"/>
      <c r="E12" s="33"/>
      <c r="F12" s="33" t="s">
        <v>97</v>
      </c>
      <c r="G12" s="36">
        <v>3</v>
      </c>
      <c r="H12" s="37">
        <v>80000</v>
      </c>
      <c r="I12" s="37">
        <f t="shared" ref="I12" si="2">G12*H12</f>
        <v>240000</v>
      </c>
      <c r="J12" s="37"/>
      <c r="K12" s="38"/>
      <c r="L12" s="29"/>
      <c r="M12" s="29"/>
      <c r="N12" s="29"/>
      <c r="O12" s="29"/>
      <c r="P12" s="30"/>
    </row>
    <row r="13" spans="1:16" ht="18" customHeight="1">
      <c r="A13" s="29"/>
      <c r="B13" s="33">
        <v>9</v>
      </c>
      <c r="C13" s="49" t="s">
        <v>100</v>
      </c>
      <c r="D13" s="35" t="s">
        <v>101</v>
      </c>
      <c r="E13" s="33"/>
      <c r="F13" s="33"/>
      <c r="G13" s="36"/>
      <c r="H13" s="37"/>
      <c r="I13" s="37">
        <v>180000</v>
      </c>
      <c r="J13" s="37"/>
      <c r="K13" s="38"/>
      <c r="L13" s="29"/>
      <c r="M13" s="29"/>
      <c r="N13" s="29"/>
      <c r="O13" s="29"/>
      <c r="P13" s="30"/>
    </row>
    <row r="14" spans="1:16" ht="18" customHeight="1">
      <c r="A14" s="29"/>
      <c r="B14" s="33">
        <v>10</v>
      </c>
      <c r="C14" s="47" t="s">
        <v>103</v>
      </c>
      <c r="D14" s="35" t="s">
        <v>104</v>
      </c>
      <c r="E14" s="33"/>
      <c r="F14" s="33"/>
      <c r="G14" s="36"/>
      <c r="H14" s="37"/>
      <c r="I14" s="37">
        <v>2800000</v>
      </c>
      <c r="J14" s="37"/>
      <c r="K14" s="38"/>
      <c r="L14" s="29"/>
      <c r="M14" s="29"/>
      <c r="N14" s="29"/>
      <c r="O14" s="29"/>
      <c r="P14" s="30"/>
    </row>
    <row r="15" spans="1:16" ht="18" customHeight="1">
      <c r="A15" s="29"/>
      <c r="B15" s="33"/>
      <c r="C15" s="47"/>
      <c r="D15" s="35"/>
      <c r="E15" s="33"/>
      <c r="F15" s="33"/>
      <c r="G15" s="36"/>
      <c r="H15" s="37"/>
      <c r="I15" s="37"/>
      <c r="J15" s="37"/>
      <c r="K15" s="38"/>
      <c r="L15" s="29"/>
      <c r="M15" s="29"/>
      <c r="N15" s="29"/>
      <c r="O15" s="29"/>
      <c r="P15" s="30"/>
    </row>
    <row r="16" spans="1:16" ht="18" customHeight="1">
      <c r="A16" s="29"/>
      <c r="B16" s="33"/>
      <c r="C16" s="47"/>
      <c r="D16" s="35"/>
      <c r="E16" s="33"/>
      <c r="F16" s="33"/>
      <c r="G16" s="36"/>
      <c r="H16" s="37"/>
      <c r="I16" s="37"/>
      <c r="J16" s="37"/>
      <c r="K16" s="38"/>
      <c r="L16" s="29"/>
      <c r="M16" s="29"/>
      <c r="N16" s="29"/>
      <c r="O16" s="29"/>
      <c r="P16" s="30"/>
    </row>
    <row r="17" spans="1:16" ht="21" customHeight="1">
      <c r="A17" s="29"/>
      <c r="B17" s="39"/>
      <c r="C17" s="74" t="s">
        <v>91</v>
      </c>
      <c r="D17" s="75"/>
      <c r="E17" s="75"/>
      <c r="F17" s="75"/>
      <c r="G17" s="75"/>
      <c r="H17" s="76"/>
      <c r="I17" s="40">
        <f>SUM(I5:I16)</f>
        <v>4735000</v>
      </c>
      <c r="J17" s="40"/>
      <c r="K17" s="38"/>
      <c r="L17" s="29"/>
      <c r="M17" s="29"/>
      <c r="N17" s="29"/>
      <c r="O17" s="29"/>
      <c r="P17" s="30"/>
    </row>
    <row r="18" spans="1:16" ht="18" customHeight="1">
      <c r="A18" s="29"/>
      <c r="B18" s="41"/>
      <c r="C18" s="29" t="s">
        <v>102</v>
      </c>
      <c r="D18" s="29"/>
      <c r="E18" s="41"/>
      <c r="F18" s="41"/>
      <c r="G18" s="42"/>
      <c r="H18" s="38"/>
      <c r="I18" s="38"/>
      <c r="J18" s="38"/>
      <c r="K18" s="38"/>
      <c r="L18" s="29"/>
      <c r="M18" s="29"/>
      <c r="N18" s="29"/>
      <c r="O18" s="29"/>
      <c r="P18" s="30"/>
    </row>
    <row r="19" spans="1:16" ht="18" customHeight="1">
      <c r="A19" s="29"/>
      <c r="B19" s="41"/>
      <c r="C19" s="29"/>
      <c r="D19" s="29"/>
      <c r="E19" s="41"/>
      <c r="F19" s="41"/>
      <c r="G19" s="42"/>
      <c r="H19" s="38"/>
      <c r="I19" s="38"/>
      <c r="J19" s="38"/>
      <c r="K19" s="38"/>
      <c r="L19" s="29"/>
      <c r="M19" s="29"/>
      <c r="N19" s="29"/>
      <c r="O19" s="29"/>
      <c r="P19" s="30"/>
    </row>
    <row r="20" spans="1:16" ht="18" customHeight="1">
      <c r="A20" s="29"/>
      <c r="B20" s="41"/>
      <c r="C20" s="29"/>
      <c r="D20" s="29"/>
      <c r="E20" s="41"/>
      <c r="F20" s="41"/>
      <c r="G20" s="42"/>
      <c r="H20" s="38"/>
      <c r="I20" s="38"/>
      <c r="J20" s="38"/>
      <c r="K20" s="38"/>
      <c r="L20" s="29"/>
      <c r="M20" s="29"/>
      <c r="N20" s="29"/>
      <c r="O20" s="29"/>
      <c r="P20" s="30"/>
    </row>
    <row r="21" spans="1:16" ht="18" customHeight="1">
      <c r="A21" s="29"/>
      <c r="B21" s="41"/>
      <c r="C21" s="29"/>
      <c r="D21" s="29"/>
      <c r="E21" s="41"/>
      <c r="F21" s="41"/>
      <c r="G21" s="42"/>
      <c r="H21" s="38"/>
      <c r="I21" s="38"/>
      <c r="J21" s="38"/>
      <c r="K21" s="38"/>
      <c r="L21" s="29"/>
      <c r="M21" s="29"/>
      <c r="N21" s="29"/>
      <c r="O21" s="29"/>
      <c r="P21" s="30"/>
    </row>
    <row r="22" spans="1:16" ht="18" customHeight="1">
      <c r="A22" s="29"/>
      <c r="B22" s="41"/>
      <c r="C22" s="29"/>
      <c r="D22" s="29"/>
      <c r="E22" s="41"/>
      <c r="F22" s="41"/>
      <c r="G22" s="42"/>
      <c r="H22" s="38"/>
      <c r="I22" s="38"/>
      <c r="J22" s="38"/>
      <c r="K22" s="38"/>
      <c r="L22" s="29"/>
      <c r="M22" s="29"/>
      <c r="N22" s="29"/>
      <c r="O22" s="29"/>
      <c r="P22" s="30"/>
    </row>
    <row r="23" spans="1:16" ht="18" customHeight="1">
      <c r="A23" s="29"/>
      <c r="B23" s="41"/>
      <c r="C23" s="29"/>
      <c r="D23" s="29"/>
      <c r="E23" s="41"/>
      <c r="F23" s="41"/>
      <c r="G23" s="42"/>
      <c r="H23" s="38"/>
      <c r="I23" s="38"/>
      <c r="J23" s="38"/>
      <c r="K23" s="38"/>
      <c r="L23" s="29"/>
      <c r="M23" s="29"/>
      <c r="N23" s="29"/>
      <c r="O23" s="29"/>
      <c r="P23" s="30"/>
    </row>
    <row r="24" spans="1:16" ht="18" customHeight="1">
      <c r="A24" s="29"/>
      <c r="B24" s="41"/>
      <c r="C24" s="29"/>
      <c r="D24" s="29"/>
      <c r="E24" s="41"/>
      <c r="F24" s="41"/>
      <c r="G24" s="42"/>
      <c r="H24" s="38"/>
      <c r="I24" s="38"/>
      <c r="J24" s="38"/>
      <c r="K24" s="38"/>
      <c r="L24" s="29"/>
      <c r="M24" s="29"/>
      <c r="N24" s="29"/>
      <c r="O24" s="29"/>
      <c r="P24" s="30"/>
    </row>
    <row r="25" spans="1:16" ht="18" customHeight="1">
      <c r="A25" s="29"/>
      <c r="B25" s="41"/>
      <c r="C25" s="29"/>
      <c r="D25" s="29"/>
      <c r="E25" s="41"/>
      <c r="F25" s="41"/>
      <c r="G25" s="42"/>
      <c r="H25" s="38"/>
      <c r="I25" s="38"/>
      <c r="J25" s="38"/>
      <c r="K25" s="38"/>
      <c r="L25" s="29"/>
      <c r="M25" s="29"/>
      <c r="N25" s="29"/>
      <c r="O25" s="29"/>
      <c r="P25" s="30"/>
    </row>
    <row r="26" spans="1:16" ht="18" customHeight="1">
      <c r="A26" s="29"/>
      <c r="B26" s="29"/>
      <c r="C26" s="29"/>
      <c r="D26" s="29"/>
      <c r="E26" s="29"/>
      <c r="F26" s="29"/>
      <c r="G26" s="38"/>
      <c r="H26" s="38"/>
      <c r="I26" s="38"/>
      <c r="J26" s="38"/>
      <c r="K26" s="38"/>
      <c r="L26" s="29"/>
      <c r="M26" s="29"/>
      <c r="N26" s="29"/>
      <c r="O26" s="29"/>
      <c r="P26" s="30"/>
    </row>
    <row r="27" spans="1:16" ht="18" customHeight="1">
      <c r="A27" s="29"/>
      <c r="B27" s="29"/>
      <c r="C27" s="29"/>
      <c r="D27" s="29"/>
      <c r="E27" s="29"/>
      <c r="F27" s="29"/>
      <c r="G27" s="38"/>
      <c r="H27" s="38"/>
      <c r="I27" s="38"/>
      <c r="J27" s="38"/>
      <c r="K27" s="38"/>
      <c r="L27" s="29"/>
      <c r="M27" s="29"/>
      <c r="N27" s="29"/>
      <c r="O27" s="29"/>
      <c r="P27" s="30"/>
    </row>
    <row r="28" spans="1:16" ht="18" customHeight="1">
      <c r="A28" s="29"/>
      <c r="B28" s="29"/>
      <c r="C28" s="29"/>
      <c r="D28" s="29"/>
      <c r="E28" s="29"/>
      <c r="F28" s="29"/>
      <c r="G28" s="38"/>
      <c r="H28" s="38"/>
      <c r="I28" s="38"/>
      <c r="J28" s="38"/>
      <c r="K28" s="38"/>
      <c r="L28" s="29"/>
      <c r="M28" s="29"/>
      <c r="N28" s="29"/>
      <c r="O28" s="29"/>
      <c r="P28" s="30"/>
    </row>
    <row r="29" spans="1:16" ht="18" customHeight="1">
      <c r="A29" s="29"/>
      <c r="B29" s="29"/>
      <c r="C29" s="29"/>
      <c r="D29" s="29"/>
      <c r="E29" s="29"/>
      <c r="F29" s="29"/>
      <c r="G29" s="38"/>
      <c r="H29" s="38"/>
      <c r="I29" s="38"/>
      <c r="J29" s="38"/>
      <c r="K29" s="38"/>
      <c r="L29" s="29"/>
      <c r="M29" s="29"/>
      <c r="N29" s="29"/>
      <c r="O29" s="29"/>
      <c r="P29" s="30"/>
    </row>
    <row r="30" spans="1:16" ht="18" customHeight="1">
      <c r="A30" s="29"/>
      <c r="B30" s="29"/>
      <c r="C30" s="29"/>
      <c r="D30" s="29"/>
      <c r="E30" s="29"/>
      <c r="F30" s="29"/>
      <c r="G30" s="38"/>
      <c r="H30" s="38"/>
      <c r="I30" s="38"/>
      <c r="J30" s="38"/>
      <c r="K30" s="38"/>
      <c r="L30" s="29"/>
      <c r="M30" s="29"/>
      <c r="N30" s="29"/>
      <c r="O30" s="29"/>
      <c r="P30" s="30"/>
    </row>
    <row r="31" spans="1:16" ht="18" customHeight="1">
      <c r="A31" s="29"/>
      <c r="B31" s="29"/>
      <c r="C31" s="29"/>
      <c r="D31" s="29"/>
      <c r="E31" s="29"/>
      <c r="F31" s="29"/>
      <c r="G31" s="38"/>
      <c r="H31" s="38"/>
      <c r="I31" s="38"/>
      <c r="J31" s="38"/>
      <c r="K31" s="38"/>
      <c r="L31" s="29"/>
      <c r="M31" s="29"/>
      <c r="N31" s="29"/>
      <c r="O31" s="29"/>
      <c r="P31" s="30"/>
    </row>
    <row r="32" spans="1:16" ht="18" customHeight="1">
      <c r="A32" s="29"/>
      <c r="B32" s="29"/>
      <c r="C32" s="29"/>
      <c r="D32" s="29"/>
      <c r="E32" s="29"/>
      <c r="F32" s="29"/>
      <c r="G32" s="38"/>
      <c r="H32" s="38"/>
      <c r="I32" s="38"/>
      <c r="J32" s="38"/>
      <c r="K32" s="38"/>
      <c r="L32" s="29"/>
      <c r="M32" s="29"/>
      <c r="N32" s="29"/>
      <c r="O32" s="29"/>
      <c r="P32" s="30"/>
    </row>
    <row r="33" spans="1:16" ht="18" customHeight="1">
      <c r="A33" s="29"/>
      <c r="B33" s="29"/>
      <c r="C33" s="29"/>
      <c r="D33" s="29"/>
      <c r="E33" s="29"/>
      <c r="F33" s="29"/>
      <c r="G33" s="38"/>
      <c r="H33" s="38"/>
      <c r="I33" s="38"/>
      <c r="J33" s="38"/>
      <c r="K33" s="38"/>
      <c r="L33" s="29"/>
      <c r="M33" s="29"/>
      <c r="N33" s="29"/>
      <c r="O33" s="29"/>
      <c r="P33" s="30"/>
    </row>
    <row r="34" spans="1:16" ht="18" customHeight="1">
      <c r="A34" s="29"/>
      <c r="B34" s="29"/>
      <c r="C34" s="29"/>
      <c r="D34" s="29"/>
      <c r="E34" s="29"/>
      <c r="F34" s="29"/>
      <c r="G34" s="38"/>
      <c r="H34" s="38"/>
      <c r="I34" s="38"/>
      <c r="J34" s="38"/>
      <c r="K34" s="38"/>
      <c r="L34" s="29"/>
      <c r="M34" s="29"/>
      <c r="N34" s="29"/>
      <c r="O34" s="29"/>
      <c r="P34" s="30"/>
    </row>
    <row r="35" spans="1:16" ht="18" customHeight="1">
      <c r="A35" s="29"/>
      <c r="B35" s="29"/>
      <c r="C35" s="29"/>
      <c r="D35" s="29"/>
      <c r="E35" s="29"/>
      <c r="F35" s="29"/>
      <c r="G35" s="38"/>
      <c r="H35" s="38"/>
      <c r="I35" s="38"/>
      <c r="J35" s="38"/>
      <c r="K35" s="38"/>
      <c r="L35" s="29"/>
      <c r="M35" s="29"/>
      <c r="N35" s="29"/>
      <c r="O35" s="29"/>
      <c r="P35" s="30"/>
    </row>
    <row r="36" spans="1:16" ht="18" customHeight="1">
      <c r="A36" s="29"/>
      <c r="B36" s="29"/>
      <c r="C36" s="29"/>
      <c r="D36" s="29"/>
      <c r="E36" s="29"/>
      <c r="F36" s="29"/>
      <c r="G36" s="38"/>
      <c r="H36" s="38"/>
      <c r="I36" s="38"/>
      <c r="J36" s="38"/>
      <c r="K36" s="38"/>
      <c r="L36" s="29"/>
      <c r="M36" s="29"/>
      <c r="N36" s="29"/>
      <c r="O36" s="29"/>
      <c r="P36" s="30"/>
    </row>
    <row r="37" spans="1:16" ht="18" customHeight="1">
      <c r="A37" s="29"/>
      <c r="B37" s="29"/>
      <c r="C37" s="29"/>
      <c r="D37" s="29"/>
      <c r="E37" s="29"/>
      <c r="F37" s="29"/>
      <c r="G37" s="38"/>
      <c r="H37" s="38"/>
      <c r="I37" s="38"/>
      <c r="J37" s="38"/>
      <c r="K37" s="38"/>
      <c r="L37" s="29"/>
      <c r="M37" s="29"/>
      <c r="N37" s="29"/>
      <c r="O37" s="29"/>
      <c r="P37" s="30"/>
    </row>
    <row r="38" spans="1:16" ht="18" customHeight="1">
      <c r="A38" s="29"/>
      <c r="B38" s="29"/>
      <c r="C38" s="29"/>
      <c r="D38" s="29"/>
      <c r="E38" s="29"/>
      <c r="F38" s="29"/>
      <c r="G38" s="38"/>
      <c r="H38" s="38"/>
      <c r="I38" s="38"/>
      <c r="J38" s="38"/>
      <c r="K38" s="38"/>
      <c r="L38" s="29"/>
      <c r="M38" s="29"/>
      <c r="N38" s="29"/>
      <c r="O38" s="29"/>
      <c r="P38" s="30"/>
    </row>
    <row r="39" spans="1:16" ht="18" customHeight="1">
      <c r="A39" s="30"/>
      <c r="B39" s="30"/>
      <c r="C39" s="30"/>
      <c r="D39" s="43"/>
      <c r="E39" s="44"/>
      <c r="F39" s="44"/>
      <c r="G39" s="45"/>
      <c r="H39" s="46"/>
      <c r="I39" s="46"/>
      <c r="J39" s="46"/>
      <c r="K39" s="46"/>
      <c r="L39" s="30"/>
      <c r="M39" s="30"/>
      <c r="N39" s="30"/>
      <c r="O39" s="30"/>
      <c r="P39" s="30"/>
    </row>
    <row r="40" spans="1:16" ht="18" customHeight="1">
      <c r="A40" s="30"/>
      <c r="B40" s="30"/>
      <c r="C40" s="30"/>
      <c r="D40" s="43"/>
      <c r="E40" s="44"/>
      <c r="F40" s="44"/>
      <c r="G40" s="45"/>
      <c r="H40" s="46"/>
      <c r="I40" s="46"/>
      <c r="J40" s="46"/>
      <c r="K40" s="46"/>
      <c r="L40" s="30"/>
      <c r="M40" s="30"/>
      <c r="N40" s="30"/>
      <c r="O40" s="30"/>
      <c r="P40" s="30"/>
    </row>
    <row r="41" spans="1:16" ht="18" customHeight="1">
      <c r="A41" s="30"/>
      <c r="B41" s="30"/>
      <c r="C41" s="30"/>
      <c r="D41" s="43"/>
      <c r="E41" s="44"/>
      <c r="F41" s="44"/>
      <c r="G41" s="45"/>
      <c r="H41" s="46"/>
      <c r="I41" s="46"/>
      <c r="J41" s="46"/>
      <c r="K41" s="46"/>
      <c r="L41" s="30"/>
      <c r="M41" s="30"/>
      <c r="N41" s="30"/>
      <c r="O41" s="30"/>
      <c r="P41" s="30"/>
    </row>
    <row r="42" spans="1:16" ht="18" customHeight="1">
      <c r="A42" s="30"/>
      <c r="B42" s="30"/>
      <c r="C42" s="30"/>
      <c r="D42" s="43"/>
      <c r="E42" s="44"/>
      <c r="F42" s="44"/>
      <c r="G42" s="45"/>
      <c r="H42" s="46"/>
      <c r="I42" s="46"/>
      <c r="J42" s="46"/>
      <c r="K42" s="46"/>
      <c r="L42" s="30"/>
      <c r="M42" s="30"/>
      <c r="N42" s="30"/>
      <c r="O42" s="30"/>
      <c r="P42" s="30"/>
    </row>
    <row r="43" spans="1:16" ht="18" customHeight="1">
      <c r="A43" s="30"/>
      <c r="B43" s="30"/>
      <c r="C43" s="30"/>
      <c r="D43" s="43"/>
      <c r="E43" s="44"/>
      <c r="F43" s="44"/>
      <c r="G43" s="45"/>
      <c r="H43" s="46"/>
      <c r="I43" s="46"/>
      <c r="J43" s="46"/>
      <c r="K43" s="46"/>
      <c r="L43" s="30"/>
      <c r="M43" s="30"/>
      <c r="N43" s="30"/>
      <c r="O43" s="30"/>
      <c r="P43" s="30"/>
    </row>
    <row r="44" spans="1:16" ht="18" customHeight="1">
      <c r="A44" s="30"/>
      <c r="B44" s="30"/>
      <c r="C44" s="30"/>
      <c r="D44" s="30"/>
      <c r="E44" s="44"/>
      <c r="F44" s="44"/>
      <c r="G44" s="45"/>
      <c r="H44" s="46"/>
      <c r="I44" s="46"/>
      <c r="J44" s="46"/>
      <c r="K44" s="46"/>
      <c r="L44" s="30"/>
      <c r="M44" s="30"/>
      <c r="N44" s="30"/>
      <c r="O44" s="30"/>
      <c r="P44" s="30"/>
    </row>
    <row r="45" spans="1:16" ht="18" customHeight="1">
      <c r="A45" s="30"/>
      <c r="B45" s="30"/>
      <c r="C45" s="30"/>
      <c r="D45" s="30"/>
      <c r="E45" s="44"/>
      <c r="F45" s="44"/>
      <c r="G45" s="45"/>
      <c r="H45" s="46"/>
      <c r="I45" s="46"/>
      <c r="J45" s="46"/>
      <c r="K45" s="46"/>
      <c r="L45" s="30"/>
      <c r="M45" s="30"/>
      <c r="N45" s="30"/>
      <c r="O45" s="30"/>
      <c r="P45" s="30"/>
    </row>
    <row r="46" spans="1:16" ht="18" customHeight="1">
      <c r="A46" s="30"/>
      <c r="B46" s="30"/>
      <c r="C46" s="30"/>
      <c r="D46" s="30"/>
      <c r="E46" s="44"/>
      <c r="F46" s="44"/>
      <c r="G46" s="45"/>
      <c r="H46" s="46"/>
      <c r="I46" s="46"/>
      <c r="J46" s="46"/>
      <c r="K46" s="46"/>
      <c r="L46" s="30"/>
      <c r="M46" s="30"/>
      <c r="N46" s="30"/>
      <c r="O46" s="30"/>
      <c r="P46" s="30"/>
    </row>
    <row r="47" spans="1:16" ht="18" customHeight="1">
      <c r="A47" s="30"/>
      <c r="B47" s="30"/>
      <c r="C47" s="30"/>
      <c r="D47" s="30"/>
      <c r="E47" s="44"/>
      <c r="F47" s="30"/>
      <c r="G47" s="46"/>
      <c r="H47" s="46"/>
      <c r="I47" s="46"/>
      <c r="J47" s="46"/>
      <c r="K47" s="46"/>
      <c r="L47" s="30"/>
      <c r="M47" s="30"/>
      <c r="N47" s="30"/>
      <c r="O47" s="30"/>
      <c r="P47" s="30"/>
    </row>
    <row r="48" spans="1:16" ht="18" customHeight="1">
      <c r="A48" s="30"/>
      <c r="B48" s="30"/>
      <c r="C48" s="30"/>
      <c r="D48" s="30"/>
      <c r="E48" s="44"/>
      <c r="F48" s="30"/>
      <c r="G48" s="46"/>
      <c r="H48" s="46"/>
      <c r="I48" s="46"/>
      <c r="J48" s="46"/>
      <c r="K48" s="46"/>
      <c r="L48" s="30"/>
      <c r="M48" s="30"/>
      <c r="N48" s="30"/>
      <c r="O48" s="30"/>
      <c r="P48" s="30"/>
    </row>
    <row r="49" spans="1:16" ht="18" customHeight="1">
      <c r="A49" s="30"/>
      <c r="B49" s="30"/>
      <c r="C49" s="30"/>
      <c r="D49" s="30"/>
      <c r="E49" s="44"/>
      <c r="F49" s="30"/>
      <c r="G49" s="46"/>
      <c r="H49" s="46"/>
      <c r="I49" s="46"/>
      <c r="J49" s="46"/>
      <c r="K49" s="46"/>
      <c r="L49" s="30"/>
      <c r="M49" s="30"/>
      <c r="N49" s="30"/>
      <c r="O49" s="30"/>
      <c r="P49" s="30"/>
    </row>
    <row r="50" spans="1:16" ht="18" customHeight="1">
      <c r="A50" s="30"/>
      <c r="B50" s="30"/>
      <c r="C50" s="30"/>
      <c r="D50" s="30"/>
      <c r="E50" s="44"/>
      <c r="F50" s="30"/>
      <c r="G50" s="46"/>
      <c r="H50" s="46"/>
      <c r="I50" s="46"/>
      <c r="J50" s="46"/>
      <c r="K50" s="46"/>
      <c r="L50" s="30"/>
      <c r="M50" s="30"/>
      <c r="N50" s="30"/>
      <c r="O50" s="30"/>
      <c r="P50" s="30"/>
    </row>
    <row r="51" spans="1:16" ht="18" customHeight="1">
      <c r="A51" s="30"/>
      <c r="B51" s="30"/>
      <c r="C51" s="30"/>
      <c r="D51" s="30"/>
      <c r="E51" s="44"/>
      <c r="F51" s="30"/>
      <c r="G51" s="46"/>
      <c r="H51" s="46"/>
      <c r="I51" s="46"/>
      <c r="J51" s="46"/>
      <c r="K51" s="46"/>
      <c r="L51" s="30"/>
      <c r="M51" s="30"/>
      <c r="N51" s="30"/>
      <c r="O51" s="30"/>
      <c r="P51" s="30"/>
    </row>
    <row r="52" spans="1:16" ht="18" customHeight="1">
      <c r="A52" s="30"/>
      <c r="B52" s="30"/>
      <c r="C52" s="30"/>
      <c r="D52" s="30"/>
      <c r="E52" s="44"/>
      <c r="F52" s="30"/>
      <c r="G52" s="46"/>
      <c r="H52" s="46"/>
      <c r="I52" s="46"/>
      <c r="J52" s="46"/>
      <c r="K52" s="46"/>
      <c r="L52" s="30"/>
      <c r="M52" s="30"/>
      <c r="N52" s="30"/>
      <c r="O52" s="30"/>
      <c r="P52" s="30"/>
    </row>
    <row r="53" spans="1:16" ht="18" customHeight="1">
      <c r="A53" s="30"/>
      <c r="B53" s="30"/>
      <c r="C53" s="30"/>
      <c r="D53" s="30"/>
      <c r="E53" s="44"/>
      <c r="F53" s="30"/>
      <c r="G53" s="46"/>
      <c r="H53" s="46"/>
      <c r="I53" s="46"/>
      <c r="J53" s="46"/>
      <c r="K53" s="46"/>
      <c r="L53" s="30"/>
      <c r="M53" s="30"/>
      <c r="N53" s="30"/>
      <c r="O53" s="30"/>
      <c r="P53" s="30"/>
    </row>
    <row r="54" spans="1:16" ht="18" customHeight="1">
      <c r="A54" s="30"/>
      <c r="B54" s="30"/>
      <c r="C54" s="30"/>
      <c r="D54" s="30"/>
      <c r="E54" s="44"/>
      <c r="F54" s="30"/>
      <c r="G54" s="46"/>
      <c r="H54" s="46"/>
      <c r="I54" s="46"/>
      <c r="J54" s="46"/>
      <c r="K54" s="46"/>
      <c r="L54" s="30"/>
      <c r="M54" s="30"/>
      <c r="N54" s="30"/>
      <c r="O54" s="30"/>
      <c r="P54" s="30"/>
    </row>
    <row r="55" spans="1:16" ht="18" customHeight="1">
      <c r="A55" s="30"/>
      <c r="B55" s="30"/>
      <c r="C55" s="30"/>
      <c r="D55" s="30"/>
      <c r="E55" s="44"/>
      <c r="F55" s="30"/>
      <c r="G55" s="46"/>
      <c r="H55" s="46"/>
      <c r="I55" s="46"/>
      <c r="J55" s="46"/>
      <c r="K55" s="46"/>
      <c r="L55" s="30"/>
      <c r="M55" s="30"/>
      <c r="N55" s="30"/>
      <c r="O55" s="30"/>
      <c r="P55" s="30"/>
    </row>
    <row r="56" spans="1:16" ht="18" customHeight="1">
      <c r="A56" s="30"/>
      <c r="B56" s="30"/>
      <c r="C56" s="30"/>
      <c r="D56" s="30"/>
      <c r="E56" s="44"/>
      <c r="F56" s="30"/>
      <c r="G56" s="46"/>
      <c r="H56" s="46"/>
      <c r="I56" s="46"/>
      <c r="J56" s="46"/>
      <c r="K56" s="46"/>
      <c r="L56" s="30"/>
      <c r="M56" s="30"/>
      <c r="N56" s="30"/>
      <c r="O56" s="30"/>
      <c r="P56" s="30"/>
    </row>
    <row r="57" spans="1:16" ht="18" customHeight="1">
      <c r="A57" s="30"/>
      <c r="B57" s="30"/>
      <c r="C57" s="30"/>
      <c r="D57" s="30"/>
      <c r="E57" s="44"/>
      <c r="F57" s="30"/>
      <c r="G57" s="46"/>
      <c r="H57" s="46"/>
      <c r="I57" s="46"/>
      <c r="J57" s="46"/>
      <c r="K57" s="46"/>
      <c r="L57" s="30"/>
      <c r="M57" s="30"/>
      <c r="N57" s="30"/>
      <c r="O57" s="30"/>
      <c r="P57" s="30"/>
    </row>
    <row r="58" spans="1:16" ht="18" customHeight="1">
      <c r="A58" s="30"/>
      <c r="B58" s="30"/>
      <c r="C58" s="30"/>
      <c r="D58" s="30"/>
      <c r="E58" s="44"/>
      <c r="F58" s="30"/>
      <c r="G58" s="46"/>
      <c r="H58" s="46"/>
      <c r="I58" s="46"/>
      <c r="J58" s="46"/>
      <c r="K58" s="46"/>
      <c r="L58" s="30"/>
      <c r="M58" s="30"/>
      <c r="N58" s="30"/>
      <c r="O58" s="30"/>
      <c r="P58" s="30"/>
    </row>
    <row r="59" spans="1:16" ht="18" customHeight="1">
      <c r="A59" s="30"/>
      <c r="B59" s="30"/>
      <c r="C59" s="30"/>
      <c r="D59" s="30"/>
      <c r="E59" s="44"/>
      <c r="F59" s="30"/>
      <c r="G59" s="46"/>
      <c r="H59" s="46"/>
      <c r="I59" s="46"/>
      <c r="J59" s="46"/>
      <c r="K59" s="46"/>
      <c r="L59" s="30"/>
      <c r="M59" s="30"/>
      <c r="N59" s="30"/>
      <c r="O59" s="30"/>
      <c r="P59" s="30"/>
    </row>
    <row r="60" spans="1:16" ht="18" customHeight="1">
      <c r="A60" s="30"/>
      <c r="B60" s="30"/>
      <c r="C60" s="30"/>
      <c r="D60" s="30"/>
      <c r="E60" s="44"/>
      <c r="F60" s="30"/>
      <c r="G60" s="46"/>
      <c r="H60" s="46"/>
      <c r="I60" s="46"/>
      <c r="J60" s="46"/>
      <c r="K60" s="46"/>
      <c r="L60" s="30"/>
      <c r="M60" s="30"/>
      <c r="N60" s="30"/>
      <c r="O60" s="30"/>
      <c r="P60" s="30"/>
    </row>
    <row r="61" spans="1:16" ht="18" customHeight="1">
      <c r="A61" s="30"/>
      <c r="B61" s="30"/>
      <c r="C61" s="30"/>
      <c r="D61" s="30"/>
      <c r="E61" s="44"/>
      <c r="F61" s="30"/>
      <c r="G61" s="46"/>
      <c r="H61" s="46"/>
      <c r="I61" s="46"/>
      <c r="J61" s="46"/>
      <c r="K61" s="46"/>
      <c r="L61" s="30"/>
      <c r="M61" s="30"/>
      <c r="N61" s="30"/>
      <c r="O61" s="30"/>
      <c r="P61" s="30"/>
    </row>
    <row r="62" spans="1:16" ht="16.5">
      <c r="A62" s="30"/>
      <c r="B62" s="30"/>
      <c r="C62" s="30"/>
      <c r="D62" s="30"/>
      <c r="E62" s="44"/>
      <c r="F62" s="30"/>
      <c r="G62" s="46"/>
      <c r="H62" s="46"/>
      <c r="I62" s="46"/>
      <c r="J62" s="46"/>
      <c r="K62" s="46"/>
      <c r="L62" s="30"/>
      <c r="M62" s="30"/>
      <c r="N62" s="30"/>
      <c r="O62" s="30"/>
      <c r="P62" s="30"/>
    </row>
    <row r="63" spans="1:16" ht="16.5">
      <c r="A63" s="30"/>
      <c r="B63" s="30"/>
      <c r="C63" s="30"/>
      <c r="D63" s="30"/>
      <c r="E63" s="44"/>
      <c r="F63" s="30"/>
      <c r="G63" s="46"/>
      <c r="H63" s="46"/>
      <c r="I63" s="46"/>
      <c r="J63" s="46"/>
      <c r="K63" s="46"/>
      <c r="L63" s="30"/>
      <c r="M63" s="30"/>
      <c r="N63" s="30"/>
      <c r="O63" s="30"/>
      <c r="P63" s="30"/>
    </row>
    <row r="64" spans="1:16" ht="16.5">
      <c r="A64" s="30"/>
      <c r="B64" s="30"/>
      <c r="C64" s="30"/>
      <c r="D64" s="30"/>
      <c r="E64" s="44"/>
      <c r="F64" s="30"/>
      <c r="G64" s="46"/>
      <c r="H64" s="46"/>
      <c r="I64" s="46"/>
      <c r="J64" s="46"/>
      <c r="K64" s="46"/>
      <c r="L64" s="30"/>
      <c r="M64" s="30"/>
      <c r="N64" s="30"/>
      <c r="O64" s="30"/>
      <c r="P64" s="30"/>
    </row>
    <row r="65" spans="1:16" ht="16.5">
      <c r="A65" s="30"/>
      <c r="B65" s="30"/>
      <c r="C65" s="30"/>
      <c r="D65" s="30"/>
      <c r="E65" s="44"/>
      <c r="F65" s="30"/>
      <c r="G65" s="46"/>
      <c r="H65" s="46"/>
      <c r="I65" s="46"/>
      <c r="J65" s="46"/>
      <c r="K65" s="46"/>
      <c r="L65" s="30"/>
      <c r="M65" s="30"/>
      <c r="N65" s="30"/>
      <c r="O65" s="30"/>
      <c r="P65" s="30"/>
    </row>
    <row r="66" spans="1:16" ht="16.5">
      <c r="A66" s="30"/>
      <c r="B66" s="30"/>
      <c r="C66" s="30"/>
      <c r="D66" s="30"/>
      <c r="E66" s="30"/>
      <c r="F66" s="30"/>
      <c r="G66" s="46"/>
      <c r="H66" s="46"/>
      <c r="I66" s="46"/>
      <c r="J66" s="46"/>
      <c r="K66" s="46"/>
      <c r="L66" s="30"/>
      <c r="M66" s="30"/>
      <c r="N66" s="30"/>
      <c r="O66" s="30"/>
      <c r="P66" s="30"/>
    </row>
    <row r="67" spans="1:16" ht="16.5">
      <c r="A67" s="30"/>
      <c r="B67" s="30"/>
      <c r="C67" s="30"/>
      <c r="D67" s="30"/>
      <c r="E67" s="30"/>
      <c r="F67" s="30"/>
      <c r="G67" s="46"/>
      <c r="H67" s="46"/>
      <c r="I67" s="46"/>
      <c r="J67" s="46"/>
      <c r="K67" s="46"/>
      <c r="L67" s="30"/>
      <c r="M67" s="30"/>
      <c r="N67" s="30"/>
      <c r="O67" s="30"/>
      <c r="P67" s="30"/>
    </row>
    <row r="68" spans="1:16" ht="16.5">
      <c r="A68" s="30"/>
      <c r="B68" s="30"/>
      <c r="C68" s="30"/>
      <c r="D68" s="30"/>
      <c r="E68" s="30"/>
      <c r="F68" s="30"/>
      <c r="G68" s="46"/>
      <c r="H68" s="46"/>
      <c r="I68" s="46"/>
      <c r="J68" s="46"/>
      <c r="K68" s="46"/>
      <c r="L68" s="30"/>
      <c r="M68" s="30"/>
      <c r="N68" s="30"/>
      <c r="O68" s="30"/>
      <c r="P68" s="30"/>
    </row>
    <row r="69" spans="1:16" ht="16.5">
      <c r="A69" s="30"/>
      <c r="B69" s="30"/>
      <c r="C69" s="30"/>
      <c r="D69" s="30"/>
      <c r="E69" s="30"/>
      <c r="F69" s="30"/>
      <c r="G69" s="46"/>
      <c r="H69" s="46"/>
      <c r="I69" s="46"/>
      <c r="J69" s="46"/>
      <c r="K69" s="46"/>
      <c r="L69" s="30"/>
      <c r="M69" s="30"/>
      <c r="N69" s="30"/>
      <c r="O69" s="30"/>
      <c r="P69" s="30"/>
    </row>
    <row r="70" spans="1:16" ht="16.5">
      <c r="A70" s="30"/>
      <c r="B70" s="30"/>
      <c r="C70" s="30"/>
      <c r="D70" s="30"/>
      <c r="E70" s="30"/>
      <c r="F70" s="30"/>
      <c r="G70" s="46"/>
      <c r="H70" s="46"/>
      <c r="I70" s="46"/>
      <c r="J70" s="46"/>
      <c r="K70" s="46"/>
      <c r="L70" s="30"/>
      <c r="M70" s="30"/>
      <c r="N70" s="30"/>
      <c r="O70" s="30"/>
      <c r="P70" s="30"/>
    </row>
    <row r="71" spans="1:16" ht="16.5">
      <c r="A71" s="30"/>
      <c r="B71" s="30"/>
      <c r="C71" s="30"/>
      <c r="D71" s="30"/>
      <c r="E71" s="30"/>
      <c r="F71" s="30"/>
      <c r="G71" s="46"/>
      <c r="H71" s="46"/>
      <c r="I71" s="46"/>
      <c r="J71" s="46"/>
      <c r="K71" s="46"/>
      <c r="L71" s="30"/>
      <c r="M71" s="30"/>
      <c r="N71" s="30"/>
      <c r="O71" s="30"/>
      <c r="P71" s="30"/>
    </row>
    <row r="72" spans="1:16" ht="16.5">
      <c r="A72" s="30"/>
      <c r="B72" s="30"/>
      <c r="C72" s="30"/>
      <c r="D72" s="30"/>
      <c r="E72" s="30"/>
      <c r="F72" s="30"/>
      <c r="G72" s="46"/>
      <c r="H72" s="46"/>
      <c r="I72" s="46"/>
      <c r="J72" s="46"/>
      <c r="K72" s="46"/>
      <c r="L72" s="30"/>
      <c r="M72" s="30"/>
      <c r="N72" s="30"/>
      <c r="O72" s="30"/>
      <c r="P72" s="30"/>
    </row>
    <row r="73" spans="1:16" ht="16.5">
      <c r="A73" s="30"/>
      <c r="B73" s="30"/>
      <c r="C73" s="30"/>
      <c r="D73" s="30"/>
      <c r="E73" s="30"/>
      <c r="F73" s="30"/>
      <c r="G73" s="46"/>
      <c r="H73" s="46"/>
      <c r="I73" s="46"/>
      <c r="J73" s="46"/>
      <c r="K73" s="46"/>
      <c r="L73" s="30"/>
      <c r="M73" s="30"/>
      <c r="N73" s="30"/>
      <c r="O73" s="30"/>
      <c r="P73" s="30"/>
    </row>
    <row r="74" spans="1:16" ht="16.5">
      <c r="A74" s="30"/>
      <c r="B74" s="30"/>
      <c r="C74" s="30"/>
      <c r="D74" s="30"/>
      <c r="E74" s="30"/>
      <c r="F74" s="30"/>
      <c r="G74" s="46"/>
      <c r="H74" s="46"/>
      <c r="I74" s="46"/>
      <c r="J74" s="46"/>
      <c r="K74" s="46"/>
      <c r="L74" s="30"/>
      <c r="M74" s="30"/>
      <c r="N74" s="30"/>
      <c r="O74" s="30"/>
      <c r="P74" s="30"/>
    </row>
    <row r="75" spans="1:16" ht="16.5">
      <c r="A75" s="30"/>
      <c r="B75" s="30"/>
      <c r="C75" s="30"/>
      <c r="D75" s="30"/>
      <c r="E75" s="30"/>
      <c r="F75" s="30"/>
      <c r="G75" s="46"/>
      <c r="H75" s="46"/>
      <c r="I75" s="46"/>
      <c r="J75" s="46"/>
      <c r="K75" s="46"/>
      <c r="L75" s="30"/>
      <c r="M75" s="30"/>
      <c r="N75" s="30"/>
      <c r="O75" s="30"/>
      <c r="P75" s="30"/>
    </row>
    <row r="76" spans="1:16" ht="16.5">
      <c r="A76" s="30"/>
      <c r="B76" s="30"/>
      <c r="C76" s="30"/>
      <c r="D76" s="30"/>
      <c r="E76" s="30"/>
      <c r="F76" s="30"/>
      <c r="G76" s="46"/>
      <c r="H76" s="46"/>
      <c r="I76" s="46"/>
      <c r="J76" s="46"/>
      <c r="K76" s="46"/>
      <c r="L76" s="30"/>
      <c r="M76" s="30"/>
      <c r="N76" s="30"/>
      <c r="O76" s="30"/>
      <c r="P76" s="30"/>
    </row>
    <row r="77" spans="1:16" ht="16.5">
      <c r="A77" s="30"/>
      <c r="B77" s="30"/>
      <c r="C77" s="30"/>
      <c r="D77" s="30"/>
      <c r="E77" s="30"/>
      <c r="F77" s="30"/>
      <c r="G77" s="46"/>
      <c r="H77" s="46"/>
      <c r="I77" s="46"/>
      <c r="J77" s="46"/>
      <c r="K77" s="46"/>
      <c r="L77" s="30"/>
      <c r="M77" s="30"/>
      <c r="N77" s="30"/>
      <c r="O77" s="30"/>
      <c r="P77" s="30"/>
    </row>
    <row r="78" spans="1:16" ht="16.5">
      <c r="A78" s="30"/>
      <c r="B78" s="30"/>
      <c r="C78" s="30"/>
      <c r="D78" s="30"/>
      <c r="E78" s="30"/>
      <c r="F78" s="30"/>
      <c r="G78" s="46"/>
      <c r="H78" s="46"/>
      <c r="I78" s="46"/>
      <c r="J78" s="46"/>
      <c r="K78" s="46"/>
      <c r="L78" s="30"/>
      <c r="M78" s="30"/>
      <c r="N78" s="30"/>
      <c r="O78" s="30"/>
      <c r="P78" s="30"/>
    </row>
    <row r="79" spans="1:16" ht="16.5">
      <c r="A79" s="30"/>
      <c r="B79" s="30"/>
      <c r="C79" s="30"/>
      <c r="D79" s="30"/>
      <c r="E79" s="30"/>
      <c r="F79" s="30"/>
      <c r="G79" s="46"/>
      <c r="H79" s="46"/>
      <c r="I79" s="46"/>
      <c r="J79" s="46"/>
      <c r="K79" s="46"/>
      <c r="L79" s="30"/>
      <c r="M79" s="30"/>
      <c r="N79" s="30"/>
      <c r="O79" s="30"/>
      <c r="P79" s="30"/>
    </row>
    <row r="80" spans="1:16" ht="16.5">
      <c r="A80" s="30"/>
      <c r="B80" s="30"/>
      <c r="C80" s="30"/>
      <c r="D80" s="30"/>
      <c r="E80" s="30"/>
      <c r="F80" s="30"/>
      <c r="G80" s="46"/>
      <c r="H80" s="46"/>
      <c r="I80" s="46"/>
      <c r="J80" s="46"/>
      <c r="K80" s="46"/>
      <c r="L80" s="30"/>
      <c r="M80" s="30"/>
      <c r="N80" s="30"/>
      <c r="O80" s="30"/>
      <c r="P80" s="30"/>
    </row>
    <row r="81" spans="1:16" ht="16.5">
      <c r="A81" s="30"/>
      <c r="B81" s="30"/>
      <c r="C81" s="30"/>
      <c r="D81" s="30"/>
      <c r="E81" s="30"/>
      <c r="F81" s="30"/>
      <c r="G81" s="46"/>
      <c r="H81" s="46"/>
      <c r="I81" s="46"/>
      <c r="J81" s="46"/>
      <c r="K81" s="46"/>
      <c r="L81" s="30"/>
      <c r="M81" s="30"/>
      <c r="N81" s="30"/>
      <c r="O81" s="30"/>
      <c r="P81" s="30"/>
    </row>
    <row r="82" spans="1:16" ht="16.5">
      <c r="A82" s="30"/>
      <c r="B82" s="30"/>
      <c r="C82" s="30"/>
      <c r="D82" s="30"/>
      <c r="E82" s="30"/>
      <c r="F82" s="30"/>
      <c r="G82" s="46"/>
      <c r="H82" s="46"/>
      <c r="I82" s="46"/>
      <c r="J82" s="46"/>
      <c r="K82" s="46"/>
      <c r="L82" s="30"/>
      <c r="M82" s="30"/>
      <c r="N82" s="30"/>
      <c r="O82" s="30"/>
      <c r="P82" s="30"/>
    </row>
    <row r="83" spans="1:16" ht="16.5">
      <c r="A83" s="30"/>
      <c r="B83" s="30"/>
      <c r="C83" s="30"/>
      <c r="D83" s="30"/>
      <c r="E83" s="30"/>
      <c r="F83" s="30"/>
      <c r="G83" s="46"/>
      <c r="H83" s="46"/>
      <c r="I83" s="46"/>
      <c r="J83" s="46"/>
      <c r="K83" s="46"/>
      <c r="L83" s="30"/>
      <c r="M83" s="30"/>
      <c r="N83" s="30"/>
      <c r="O83" s="30"/>
      <c r="P83" s="30"/>
    </row>
    <row r="84" spans="1:16" ht="16.5">
      <c r="A84" s="30"/>
      <c r="B84" s="30"/>
      <c r="C84" s="30"/>
      <c r="D84" s="30"/>
      <c r="E84" s="30"/>
      <c r="F84" s="30"/>
      <c r="G84" s="46"/>
      <c r="H84" s="46"/>
      <c r="I84" s="46"/>
      <c r="J84" s="46"/>
      <c r="K84" s="46"/>
      <c r="L84" s="30"/>
      <c r="M84" s="30"/>
      <c r="N84" s="30"/>
      <c r="O84" s="30"/>
      <c r="P84" s="30"/>
    </row>
    <row r="85" spans="1:16" ht="16.5">
      <c r="A85" s="30"/>
      <c r="B85" s="30"/>
      <c r="C85" s="30"/>
      <c r="D85" s="30"/>
      <c r="E85" s="30"/>
      <c r="F85" s="30"/>
      <c r="G85" s="46"/>
      <c r="H85" s="46"/>
      <c r="I85" s="46"/>
      <c r="J85" s="46"/>
      <c r="K85" s="46"/>
      <c r="L85" s="30"/>
      <c r="M85" s="30"/>
      <c r="N85" s="30"/>
      <c r="O85" s="30"/>
      <c r="P85" s="30"/>
    </row>
    <row r="86" spans="1:16" ht="16.5">
      <c r="A86" s="30"/>
      <c r="B86" s="30"/>
      <c r="C86" s="30"/>
      <c r="D86" s="30"/>
      <c r="E86" s="30"/>
      <c r="F86" s="30"/>
      <c r="G86" s="46"/>
      <c r="H86" s="46"/>
      <c r="I86" s="46"/>
      <c r="J86" s="46"/>
      <c r="K86" s="46"/>
      <c r="L86" s="30"/>
      <c r="M86" s="30"/>
      <c r="N86" s="30"/>
      <c r="O86" s="30"/>
      <c r="P86" s="30"/>
    </row>
    <row r="87" spans="1:16" ht="16.5">
      <c r="A87" s="30"/>
      <c r="B87" s="30"/>
      <c r="C87" s="30"/>
      <c r="D87" s="30"/>
      <c r="E87" s="30"/>
      <c r="F87" s="30"/>
      <c r="G87" s="46"/>
      <c r="H87" s="46"/>
      <c r="I87" s="46"/>
      <c r="J87" s="46"/>
      <c r="K87" s="46"/>
      <c r="L87" s="30"/>
      <c r="M87" s="30"/>
      <c r="N87" s="30"/>
      <c r="O87" s="30"/>
      <c r="P87" s="30"/>
    </row>
    <row r="88" spans="1:16" ht="16.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</row>
    <row r="89" spans="1:16" ht="16.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</row>
    <row r="90" spans="1:16" ht="16.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</row>
    <row r="91" spans="1:16" ht="16.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</row>
    <row r="92" spans="1:16" ht="16.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</row>
    <row r="93" spans="1:16" ht="16.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</row>
    <row r="94" spans="1:16" ht="16.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</row>
    <row r="95" spans="1:16" ht="16.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</row>
    <row r="96" spans="1:16" ht="16.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</row>
    <row r="97" spans="1:16" ht="16.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</row>
    <row r="98" spans="1:16" ht="16.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</row>
    <row r="99" spans="1:16" ht="16.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</row>
    <row r="100" spans="1:16" ht="16.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</row>
    <row r="101" spans="1:16" ht="16.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</row>
    <row r="102" spans="1:16" ht="16.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</row>
    <row r="103" spans="1:16" ht="16.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</row>
    <row r="104" spans="1:16" ht="16.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</row>
    <row r="105" spans="1:16" ht="16.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</row>
    <row r="106" spans="1:16" ht="16.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</row>
    <row r="107" spans="1:16" ht="16.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</row>
    <row r="108" spans="1:16" ht="16.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</row>
    <row r="109" spans="1:16" ht="16.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</row>
    <row r="110" spans="1:16" ht="16.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</row>
    <row r="111" spans="1:16" ht="16.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</row>
    <row r="112" spans="1:16" ht="16.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</row>
    <row r="113" spans="1:16" ht="16.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</row>
    <row r="114" spans="1:16" ht="16.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</row>
    <row r="115" spans="1:16" ht="16.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</row>
    <row r="116" spans="1:16" ht="16.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</row>
    <row r="117" spans="1:16" ht="16.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</row>
    <row r="118" spans="1:16" ht="16.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</row>
    <row r="119" spans="1:16" ht="16.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</row>
    <row r="120" spans="1:16" ht="16.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</row>
    <row r="121" spans="1:16" ht="16.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</row>
    <row r="122" spans="1:16" ht="16.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</row>
    <row r="123" spans="1:16" ht="16.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</row>
    <row r="124" spans="1:16" ht="16.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</row>
    <row r="125" spans="1:16" ht="16.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</row>
    <row r="126" spans="1:16" ht="16.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</row>
    <row r="127" spans="1:16" ht="16.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</row>
    <row r="128" spans="1:16" ht="16.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</row>
    <row r="129" spans="1:16" ht="16.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</row>
    <row r="130" spans="1:16" ht="16.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</row>
    <row r="131" spans="1:16" ht="16.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</row>
    <row r="132" spans="1:16" ht="16.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</row>
    <row r="133" spans="1:16" ht="16.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</row>
    <row r="134" spans="1:16" ht="16.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</row>
    <row r="135" spans="1:16" ht="16.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</row>
    <row r="136" spans="1:16" ht="16.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</row>
    <row r="137" spans="1:16" ht="16.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</row>
    <row r="138" spans="1:16" ht="16.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</row>
    <row r="139" spans="1:16" ht="16.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</row>
    <row r="140" spans="1:16" ht="16.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</row>
    <row r="141" spans="1:16" ht="16.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</row>
    <row r="142" spans="1:16" ht="16.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</row>
    <row r="143" spans="1:16" ht="16.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</row>
    <row r="144" spans="1:16" ht="16.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</row>
    <row r="145" spans="1:16" ht="16.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</row>
    <row r="146" spans="1:16" ht="16.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</row>
    <row r="147" spans="1:16" ht="16.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</row>
    <row r="148" spans="1:16" ht="16.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</row>
    <row r="149" spans="1:16" ht="16.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</row>
    <row r="150" spans="1:16" ht="16.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</row>
    <row r="151" spans="1:16" ht="16.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</row>
    <row r="152" spans="1:16" ht="16.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</row>
    <row r="153" spans="1:16" ht="16.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</row>
    <row r="154" spans="1:16" ht="16.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</row>
    <row r="155" spans="1:16" ht="16.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</row>
    <row r="156" spans="1:16" ht="16.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</row>
    <row r="157" spans="1:16" ht="16.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</row>
    <row r="158" spans="1:16" ht="16.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</row>
    <row r="159" spans="1:16" ht="16.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</row>
    <row r="160" spans="1:16" ht="16.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</row>
    <row r="161" spans="1:16" ht="16.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</row>
    <row r="162" spans="1:16" ht="16.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</row>
    <row r="163" spans="1:16" ht="16.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</row>
    <row r="164" spans="1:16" ht="16.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</row>
    <row r="165" spans="1:16" ht="16.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</row>
    <row r="166" spans="1:16" ht="16.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</row>
    <row r="167" spans="1:16" ht="16.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</row>
    <row r="168" spans="1:16" ht="16.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</row>
    <row r="169" spans="1:16" ht="16.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</row>
    <row r="170" spans="1:16" ht="16.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</row>
    <row r="171" spans="1:16" ht="16.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</row>
    <row r="172" spans="1:16" ht="16.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</row>
    <row r="173" spans="1:16" ht="16.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</row>
    <row r="174" spans="1:16" ht="16.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</row>
    <row r="175" spans="1:16" ht="16.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</row>
    <row r="176" spans="1:16" ht="16.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</row>
    <row r="177" spans="1:16" ht="16.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</row>
    <row r="178" spans="1:16" ht="16.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</row>
    <row r="179" spans="1:16" ht="16.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</row>
    <row r="180" spans="1:16" ht="16.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</row>
    <row r="181" spans="1:16" ht="16.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</row>
    <row r="182" spans="1:16" ht="16.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</row>
  </sheetData>
  <mergeCells count="2">
    <mergeCell ref="C17:H17"/>
    <mergeCell ref="B2:J2"/>
  </mergeCells>
  <phoneticPr fontId="1" type="noConversion"/>
  <printOptions horizontalCentered="1"/>
  <pageMargins left="0.51181102362204722" right="0.31496062992125984" top="0.94488188976377963" bottom="0.35433070866141736" header="0.31496062992125984" footer="0.31496062992125984"/>
  <pageSetup paperSize="9" scale="99" fitToHeight="0" orientation="landscape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제품사양</vt:lpstr>
      <vt:lpstr>제품개념도</vt:lpstr>
      <vt:lpstr>예상원가</vt:lpstr>
      <vt:lpstr>투자비용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곽원호</dc:creator>
  <cp:lastModifiedBy>user</cp:lastModifiedBy>
  <cp:lastPrinted>2014-05-20T02:22:49Z</cp:lastPrinted>
  <dcterms:created xsi:type="dcterms:W3CDTF">2014-01-10T07:20:20Z</dcterms:created>
  <dcterms:modified xsi:type="dcterms:W3CDTF">2014-06-17T06:55:51Z</dcterms:modified>
</cp:coreProperties>
</file>